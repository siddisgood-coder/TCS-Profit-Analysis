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4A0E3C83-4CF8-4067-9047-96822DA57A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_Financial_Data" sheetId="1" r:id="rId1"/>
    <sheet name="2_Ratio_Analysis" sheetId="2" r:id="rId2"/>
    <sheet name="3_Growth_Analysis" sheetId="3" r:id="rId3"/>
    <sheet name="4_Charts" sheetId="4" r:id="rId4"/>
    <sheet name="5_Interpret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5" l="1"/>
  <c r="G16" i="5" s="1"/>
  <c r="E16" i="5"/>
  <c r="D16" i="5"/>
  <c r="C16" i="5"/>
  <c r="B16" i="5"/>
  <c r="F15" i="5"/>
  <c r="G15" i="5" s="1"/>
  <c r="E15" i="5"/>
  <c r="D15" i="5"/>
  <c r="C15" i="5"/>
  <c r="B15" i="5"/>
  <c r="F14" i="5"/>
  <c r="E14" i="5"/>
  <c r="D14" i="5"/>
  <c r="C14" i="5"/>
  <c r="B14" i="5"/>
  <c r="G14" i="5" s="1"/>
  <c r="G9" i="5"/>
  <c r="F9" i="5"/>
  <c r="C9" i="5"/>
  <c r="E9" i="5" s="1"/>
  <c r="B9" i="5"/>
  <c r="F8" i="5"/>
  <c r="G8" i="5" s="1"/>
  <c r="E8" i="5"/>
  <c r="D8" i="5"/>
  <c r="C8" i="5"/>
  <c r="B8" i="5"/>
  <c r="C7" i="5"/>
  <c r="E7" i="5" s="1"/>
  <c r="B7" i="5"/>
  <c r="C6" i="5"/>
  <c r="F6" i="5" s="1"/>
  <c r="G6" i="5" s="1"/>
  <c r="B6" i="5"/>
  <c r="G5" i="5"/>
  <c r="F5" i="5"/>
  <c r="C5" i="5"/>
  <c r="E5" i="5" s="1"/>
  <c r="B5" i="5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F23" i="3"/>
  <c r="E23" i="3"/>
  <c r="D23" i="3"/>
  <c r="C23" i="3"/>
  <c r="B23" i="3"/>
  <c r="G23" i="3" s="1"/>
  <c r="F22" i="3"/>
  <c r="E22" i="3"/>
  <c r="D22" i="3"/>
  <c r="C22" i="3"/>
  <c r="B22" i="3"/>
  <c r="G22" i="3" s="1"/>
  <c r="G21" i="3"/>
  <c r="F21" i="3"/>
  <c r="E21" i="3"/>
  <c r="D21" i="3"/>
  <c r="C21" i="3"/>
  <c r="B21" i="3"/>
  <c r="F20" i="3"/>
  <c r="E20" i="3"/>
  <c r="D20" i="3"/>
  <c r="C20" i="3"/>
  <c r="B20" i="3"/>
  <c r="G20" i="3" s="1"/>
  <c r="C16" i="3"/>
  <c r="D14" i="3"/>
  <c r="F9" i="3"/>
  <c r="F16" i="3" s="1"/>
  <c r="E9" i="3"/>
  <c r="D9" i="3"/>
  <c r="E16" i="3" s="1"/>
  <c r="C9" i="3"/>
  <c r="B9" i="3"/>
  <c r="F8" i="3"/>
  <c r="F15" i="3" s="1"/>
  <c r="E8" i="3"/>
  <c r="E15" i="3" s="1"/>
  <c r="D8" i="3"/>
  <c r="D15" i="3" s="1"/>
  <c r="C8" i="3"/>
  <c r="B8" i="3"/>
  <c r="C15" i="3" s="1"/>
  <c r="F7" i="3"/>
  <c r="E7" i="3"/>
  <c r="F14" i="3" s="1"/>
  <c r="D7" i="3"/>
  <c r="C7" i="3"/>
  <c r="C14" i="3" s="1"/>
  <c r="B7" i="3"/>
  <c r="G7" i="3" s="1"/>
  <c r="F6" i="3"/>
  <c r="F13" i="3" s="1"/>
  <c r="E6" i="3"/>
  <c r="E13" i="3" s="1"/>
  <c r="D6" i="3"/>
  <c r="C6" i="3"/>
  <c r="C13" i="3" s="1"/>
  <c r="B6" i="3"/>
  <c r="C34" i="2"/>
  <c r="F34" i="2" s="1"/>
  <c r="B34" i="2"/>
  <c r="F33" i="2"/>
  <c r="C33" i="2"/>
  <c r="B33" i="2"/>
  <c r="F32" i="2"/>
  <c r="C32" i="2"/>
  <c r="B32" i="2"/>
  <c r="F31" i="2"/>
  <c r="C31" i="2"/>
  <c r="B31" i="2"/>
  <c r="F26" i="2"/>
  <c r="E26" i="2"/>
  <c r="D26" i="2"/>
  <c r="C26" i="2"/>
  <c r="B26" i="2"/>
  <c r="G26" i="2" s="1"/>
  <c r="F25" i="2"/>
  <c r="E25" i="2"/>
  <c r="D25" i="2"/>
  <c r="C25" i="2"/>
  <c r="G25" i="2" s="1"/>
  <c r="B25" i="2"/>
  <c r="F24" i="2"/>
  <c r="E24" i="2"/>
  <c r="D24" i="2"/>
  <c r="G24" i="2" s="1"/>
  <c r="C24" i="2"/>
  <c r="B24" i="2"/>
  <c r="G19" i="2"/>
  <c r="F19" i="2"/>
  <c r="E19" i="2"/>
  <c r="D19" i="2"/>
  <c r="C19" i="2"/>
  <c r="B19" i="2"/>
  <c r="F18" i="2"/>
  <c r="E18" i="2"/>
  <c r="D18" i="2"/>
  <c r="C18" i="2"/>
  <c r="B18" i="2"/>
  <c r="G18" i="2" s="1"/>
  <c r="F17" i="2"/>
  <c r="E17" i="2"/>
  <c r="D17" i="2"/>
  <c r="C17" i="2"/>
  <c r="G17" i="2" s="1"/>
  <c r="B17" i="2"/>
  <c r="F16" i="2"/>
  <c r="E16" i="2"/>
  <c r="D16" i="2"/>
  <c r="C16" i="2"/>
  <c r="G16" i="2" s="1"/>
  <c r="B16" i="2"/>
  <c r="G15" i="2"/>
  <c r="F15" i="2"/>
  <c r="E15" i="2"/>
  <c r="D15" i="2"/>
  <c r="C15" i="2"/>
  <c r="B15" i="2"/>
  <c r="F10" i="2"/>
  <c r="E10" i="2"/>
  <c r="G10" i="2" s="1"/>
  <c r="D10" i="2"/>
  <c r="C10" i="2"/>
  <c r="B10" i="2"/>
  <c r="F9" i="2"/>
  <c r="E9" i="2"/>
  <c r="D9" i="2"/>
  <c r="C9" i="2"/>
  <c r="G9" i="2" s="1"/>
  <c r="B9" i="2"/>
  <c r="F8" i="2"/>
  <c r="E8" i="2"/>
  <c r="D8" i="2"/>
  <c r="C8" i="2"/>
  <c r="G8" i="2" s="1"/>
  <c r="B8" i="2"/>
  <c r="G7" i="2"/>
  <c r="F7" i="2"/>
  <c r="E7" i="2"/>
  <c r="D7" i="2"/>
  <c r="C7" i="2"/>
  <c r="B7" i="2"/>
  <c r="F6" i="2"/>
  <c r="E6" i="2"/>
  <c r="G6" i="2" s="1"/>
  <c r="D6" i="2"/>
  <c r="C6" i="2"/>
  <c r="B6" i="2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G15" i="3" l="1"/>
  <c r="G8" i="3"/>
  <c r="D13" i="3"/>
  <c r="G13" i="3" s="1"/>
  <c r="D6" i="5"/>
  <c r="F7" i="5"/>
  <c r="G7" i="5" s="1"/>
  <c r="E6" i="5"/>
  <c r="D5" i="5"/>
  <c r="D9" i="5"/>
  <c r="G6" i="3"/>
  <c r="G9" i="3"/>
  <c r="E14" i="3"/>
  <c r="G14" i="3" s="1"/>
  <c r="D16" i="3"/>
  <c r="G16" i="3" s="1"/>
  <c r="D7" i="5"/>
</calcChain>
</file>

<file path=xl/sharedStrings.xml><?xml version="1.0" encoding="utf-8"?>
<sst xmlns="http://schemas.openxmlformats.org/spreadsheetml/2006/main" count="201" uniqueCount="147">
  <si>
    <t>TATA CONSULTANCY SERVICES — PROFIT ANALYSIS PROJECT</t>
  </si>
  <si>
    <t>5-Year Consolidated Financial Data  |  FY 2019-20 to FY 2023-24  |  All figures in ₹ Crores</t>
  </si>
  <si>
    <t>COLOR LEGEND:</t>
  </si>
  <si>
    <t>Blue = Input Data (hardcoded)</t>
  </si>
  <si>
    <t>Black = Formula / Calculated</t>
  </si>
  <si>
    <t>Green = Cross-sheet Link</t>
  </si>
  <si>
    <t>Financial Year</t>
  </si>
  <si>
    <t>Revenue
(₹ Crores)</t>
  </si>
  <si>
    <t>Operating Profit
(₹ Crores)</t>
  </si>
  <si>
    <t>Net Profit
(₹ Crores)</t>
  </si>
  <si>
    <t>Total Expenses
(₹ Crores)</t>
  </si>
  <si>
    <t>EPS (₹)</t>
  </si>
  <si>
    <t>Employees</t>
  </si>
  <si>
    <t>Dividends Paid
(₹ Crores)</t>
  </si>
  <si>
    <t>Tax Paid
(₹ Crores)</t>
  </si>
  <si>
    <t>FY 2019-20</t>
  </si>
  <si>
    <t>FY 2020-21</t>
  </si>
  <si>
    <t>FY 2021-22</t>
  </si>
  <si>
    <t>FY 2022-23</t>
  </si>
  <si>
    <t>FY 2023-24</t>
  </si>
  <si>
    <t>5-YEAR TOTALS &amp; AVERAGES</t>
  </si>
  <si>
    <t>TOTAL (5 Years)</t>
  </si>
  <si>
    <t>AVERAGE (5 Years)</t>
  </si>
  <si>
    <t>MAX (5 Years)</t>
  </si>
  <si>
    <t>MIN (5 Years)</t>
  </si>
  <si>
    <t>Source: TCS Annual Reports FY2020–FY2024 | BSE India (BSE: 532540) | Screener.in | www.tcs.com/investor-relations</t>
  </si>
  <si>
    <t>TATA CONSULTANCY SERVICES — COMPREHENSIVE RATIO ANALYSIS</t>
  </si>
  <si>
    <t>All ratios calculated using Excel formulas linked to Financial Data sheet</t>
  </si>
  <si>
    <t xml:space="preserve">  SECTION A — PROFITABILITY RATIOS</t>
  </si>
  <si>
    <t>Ratio</t>
  </si>
  <si>
    <t>5-Yr Avg</t>
  </si>
  <si>
    <t>Formula Used</t>
  </si>
  <si>
    <t>Interpretation</t>
  </si>
  <si>
    <t>1. Net Profit Margin (%)</t>
  </si>
  <si>
    <t>Net Profit / Revenue × 100</t>
  </si>
  <si>
    <t>Higher % = more profitable. TCS ~19-21% is excellent for IT sector.</t>
  </si>
  <si>
    <t>2. Operating Profit Margin (%)</t>
  </si>
  <si>
    <t>Operating Profit / Revenue × 100</t>
  </si>
  <si>
    <t>Shows operating efficiency before interest &amp; tax.</t>
  </si>
  <si>
    <t>3. Expense Ratio (%)</t>
  </si>
  <si>
    <t>Total Expenses / Revenue × 100</t>
  </si>
  <si>
    <t>Lower ratio = better cost control. Declining trend is positive.</t>
  </si>
  <si>
    <t>4. Gross Profit Margin (%)</t>
  </si>
  <si>
    <t>(Revenue - Expenses) / Revenue × 100</t>
  </si>
  <si>
    <t>Measures basic profitability before other deductions.</t>
  </si>
  <si>
    <t>5. Return on Revenue (%)</t>
  </si>
  <si>
    <t>How much net income is earned per ₹ of revenue.</t>
  </si>
  <si>
    <t xml:space="preserve">  SECTION B — YEAR-ON-YEAR GROWTH RATES (%)</t>
  </si>
  <si>
    <t>Growth Metric</t>
  </si>
  <si>
    <t>FY20→21</t>
  </si>
  <si>
    <t>FY21→22</t>
  </si>
  <si>
    <t>FY22→23</t>
  </si>
  <si>
    <t>FY23→24</t>
  </si>
  <si>
    <t>4-Yr CAGR</t>
  </si>
  <si>
    <t>Best Year</t>
  </si>
  <si>
    <t>Observation</t>
  </si>
  <si>
    <t>1. Revenue Growth (%)</t>
  </si>
  <si>
    <t>(Current - Previous) / Previous × 100</t>
  </si>
  <si>
    <t>Revenue grew consistently YoY; FY22 saw highest jump.</t>
  </si>
  <si>
    <t>2. Operating Profit Growth (%)</t>
  </si>
  <si>
    <t>Operating profit grew faster than revenue in FY24.</t>
  </si>
  <si>
    <t>3. Net Profit Growth (%)</t>
  </si>
  <si>
    <t>Net profit showed stable ~3-15% growth each year.</t>
  </si>
  <si>
    <t>4. EPS Growth (%)</t>
  </si>
  <si>
    <t>EPS grew every year — excellent for shareholders.</t>
  </si>
  <si>
    <t>5. Employee Growth (%)</t>
  </si>
  <si>
    <t>Headcount peaked in FY23; FY24 shows rationalisation.</t>
  </si>
  <si>
    <t xml:space="preserve">  SECTION C — EFFICIENCY RATIOS</t>
  </si>
  <si>
    <t>Efficiency Metric</t>
  </si>
  <si>
    <t>1. Revenue per Employee (₹ Cr)</t>
  </si>
  <si>
    <t>Revenue / No. of Employees</t>
  </si>
  <si>
    <t>Shows productivity per employee.</t>
  </si>
  <si>
    <t>2. Net Profit per Employee (₹ Cr)</t>
  </si>
  <si>
    <t>Net Profit / No. of Employees</t>
  </si>
  <si>
    <t>Higher = more profitable per employee.</t>
  </si>
  <si>
    <t>3. Op. Profit per Employee (₹ Cr)</t>
  </si>
  <si>
    <t>Operating Profit / Employees</t>
  </si>
  <si>
    <t>Reflects operational efficiency per head.</t>
  </si>
  <si>
    <t xml:space="preserve">  SECTION D — COMPOUND ANNUAL GROWTH RATE (CAGR) SUMMARY</t>
  </si>
  <si>
    <t>Metric</t>
  </si>
  <si>
    <t>Start Value (FY20)</t>
  </si>
  <si>
    <t>End Value (FY24)</t>
  </si>
  <si>
    <t>No. of Years</t>
  </si>
  <si>
    <t>CAGR Formula</t>
  </si>
  <si>
    <t>CAGR Value</t>
  </si>
  <si>
    <t>Revenue CAGR</t>
  </si>
  <si>
    <t>(End Value / Start Value)^(1/n) - 1</t>
  </si>
  <si>
    <t>Net Profit CAGR</t>
  </si>
  <si>
    <t>Operating Profit CAGR</t>
  </si>
  <si>
    <t>EPS CAGR</t>
  </si>
  <si>
    <t>TATA CONSULTANCY SERVICES — YEAR-ON-YEAR GROWTH &amp; TREND ANALYSIS</t>
  </si>
  <si>
    <t>Formula: YoY Growth = (Current Year Value − Previous Year Value) / Previous Year Value × 100</t>
  </si>
  <si>
    <t xml:space="preserve">  ABSOLUTE VALUES (₹ Crores) — Linked from Financial Data Sheet</t>
  </si>
  <si>
    <t>Total</t>
  </si>
  <si>
    <t>Revenue</t>
  </si>
  <si>
    <t>Operating Profit</t>
  </si>
  <si>
    <t>Net Profit</t>
  </si>
  <si>
    <t>Total Expenses</t>
  </si>
  <si>
    <t xml:space="preserve">  YEAR-ON-YEAR GROWTH RATES (%) — Formula: (Current−Previous)/Previous×100</t>
  </si>
  <si>
    <t>FY 2019-20
(Base)</t>
  </si>
  <si>
    <t>Avg Growth</t>
  </si>
  <si>
    <t>Revenue Growth (%)</t>
  </si>
  <si>
    <t>Base Year</t>
  </si>
  <si>
    <t>Operating Profit Growth (%)</t>
  </si>
  <si>
    <t>Net Profit Growth (%)</t>
  </si>
  <si>
    <t>Total Expenses Growth (%)</t>
  </si>
  <si>
    <t xml:space="preserve">  CONDITIONAL ANALYSIS — Highest &amp; Lowest Values per Metric</t>
  </si>
  <si>
    <t>MAX Year</t>
  </si>
  <si>
    <t>Formula used: IF(MAX(range)=cellX, "Year", ...) to identify peak performance year</t>
  </si>
  <si>
    <t>TATA CONSULTANCY SERVICES — GRAPHICAL TREND ANALYSIS (Charts)</t>
  </si>
  <si>
    <t>Year</t>
  </si>
  <si>
    <t>Op. Profit</t>
  </si>
  <si>
    <t>Expenses</t>
  </si>
  <si>
    <t>EPS</t>
  </si>
  <si>
    <t>TATA CONSULTANCY SERVICES — FINDINGS, INTERPRETATION &amp; CONCLUSION</t>
  </si>
  <si>
    <t xml:space="preserve">  KEY PERFORMANCE INDICATORS (Live — auto-calculated from Financial Data)</t>
  </si>
  <si>
    <t>KPI</t>
  </si>
  <si>
    <t>FY 2019-20
(Start)</t>
  </si>
  <si>
    <t>FY 2023-24
(End)</t>
  </si>
  <si>
    <t>Change (₹ Cr)</t>
  </si>
  <si>
    <t>Change (%)</t>
  </si>
  <si>
    <t>CAGR (%)</t>
  </si>
  <si>
    <t>Assessment</t>
  </si>
  <si>
    <t>Revenue (₹ Crores)</t>
  </si>
  <si>
    <t>Operating Profit (₹ Cr)</t>
  </si>
  <si>
    <t>Net Profit (₹ Crores)</t>
  </si>
  <si>
    <t>Total Expenses (₹ Cr)</t>
  </si>
  <si>
    <t xml:space="preserve">  PROFITABILITY MARGIN ANALYSIS (Cross-sheet formula: Net Profit / Revenue × 100)</t>
  </si>
  <si>
    <t>Margin Metric</t>
  </si>
  <si>
    <t>Trend</t>
  </si>
  <si>
    <t>Net Profit Margin (%)</t>
  </si>
  <si>
    <t>Op. Profit Margin (%)</t>
  </si>
  <si>
    <t>Expense Ratio (%)</t>
  </si>
  <si>
    <t xml:space="preserve">  KEY FINDINGS &amp; INTERPRETATION</t>
  </si>
  <si>
    <t>Finding 1 — Revenue Growth</t>
  </si>
  <si>
    <t>TCS revenue grew from ₹1,56,949 Cr (FY20) to ₹2,40,893 Cr (FY24). The 4-year CAGR of ~11.3% reflects strong and sustained demand for IT services globally. Even during the COVID-19 year (FY21), TCS posted positive growth of 4.6%.</t>
  </si>
  <si>
    <t>Finding 2 — Profit Consistency</t>
  </si>
  <si>
    <t>Net Profit grew every single year — from ₹32,430 Cr to ₹46,099 Cr — with a CAGR of ~9.2%. Zero years of profit decline over 5 years demonstrates exceptional financial discipline and earnings quality.</t>
  </si>
  <si>
    <t>Finding 3 — Margin Stability</t>
  </si>
  <si>
    <t>Net Profit Margin remained in the 18.7%–20.7% band across all years. Operating Profit Margin improved from 24.4% (FY20) to 26.2% (FY24), reflecting better operational efficiency and scale leverage.</t>
  </si>
  <si>
    <t>Finding 4 — Cost Management</t>
  </si>
  <si>
    <t>Despite rising absolute expenses, the Expense Ratio declined from 75.6% in FY20 to 73.9% in FY24. This means TCS generates more revenue per rupee of cost — a sign of operational leverage.</t>
  </si>
  <si>
    <t>Finding 5 — EPS &amp; Shareholder Value</t>
  </si>
  <si>
    <t>EPS grew from ₹83.68 to ₹124.60 — a ~48.9% increase over 5 years. Combined with a healthy dividend payout ratio (~84%), TCS has consistently rewarded shareholders, making it a top-tier investment-grade stock.</t>
  </si>
  <si>
    <t xml:space="preserve">  CONCLUSION</t>
  </si>
  <si>
    <t>The 5-year Profit Analysis of TCS confirms that the company has maintained strong, stable, and growing profitability from FY 2019-20 to FY 2023-24. Revenue grew at a CAGR of ~11.3%, Net Profit at ~9.2%, and EPS at ~10.4%. Profit margins remained consistently healthy (Net: ~19%, Operating: ~24-26%), and expense ratios declined — all indicating a high-quality, operationally efficient business. TCS stands as one of India's most financially sound companies and a benchmark in the Indian IT industry.</t>
  </si>
  <si>
    <t>References: TCS Annual Reports FY2020-FY2024 | BSE India (532540) | Screener.in | Moneycontrol.com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</si>
</sst>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8"/>
      <color rgb="FF595959"/>
      <name val="Arial"/>
      <charset val="1"/>
    </font>
    <font>
      <i/>
      <sz val="9"/>
      <color rgb="FF595959"/>
      <name val="Arial"/>
      <charset val="1"/>
    </font>
    <font>
      <sz val="9"/>
      <color rgb="FF595959"/>
      <name val="Arial"/>
      <charset val="1"/>
    </font>
    <font>
      <sz val="10"/>
      <color rgb="FF008000"/>
      <name val="Arial"/>
      <charset val="1"/>
    </font>
    <font>
      <sz val="9"/>
      <color rgb="FFAAAAAA"/>
      <name val="Arial"/>
      <charset val="1"/>
    </font>
    <font>
      <b/>
      <sz val="10"/>
      <color rgb="FF008000"/>
      <name val="Arial"/>
      <charset val="1"/>
    </font>
    <font>
      <b/>
      <sz val="10"/>
      <color rgb="FF1F4E7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374F6B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374F6B"/>
        <bgColor rgb="FF1F4E79"/>
      </patternFill>
    </fill>
    <fill>
      <patternFill patternType="solid">
        <fgColor rgb="FFD6E4F0"/>
        <bgColor rgb="FFD9D9D9"/>
      </patternFill>
    </fill>
    <fill>
      <patternFill patternType="solid">
        <fgColor rgb="FF375623"/>
        <bgColor rgb="FF374F6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0" fillId="7" borderId="0" xfId="0" applyFont="1" applyFill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7" fillId="9" borderId="2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6" fillId="10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 vertical="center"/>
    </xf>
    <xf numFmtId="4" fontId="10" fillId="7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3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3" fontId="10" fillId="5" borderId="1" xfId="0" applyNumberFormat="1" applyFont="1" applyFill="1" applyBorder="1" applyAlignment="1">
      <alignment horizontal="center" vertical="center"/>
    </xf>
    <xf numFmtId="4" fontId="10" fillId="5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2" fontId="10" fillId="5" borderId="1" xfId="0" applyNumberFormat="1" applyFont="1" applyFill="1" applyBorder="1" applyAlignment="1">
      <alignment horizontal="center" vertical="center"/>
    </xf>
    <xf numFmtId="10" fontId="10" fillId="6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0" fontId="14" fillId="6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CCCCC"/>
      <rgbColor rgb="FF878787"/>
      <rgbColor rgb="FF9999FF"/>
      <rgbColor rgb="FFC0504D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95959"/>
      <rgbColor rgb="FFAAAAAA"/>
      <rgbColor rgb="FF374F6B"/>
      <rgbColor rgb="FF00B050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TCS — Revenue Trend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'4_Charts'!$B$3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'4_Charts'!$A$4:$A$8</c:f>
              <c:strCache>
                <c:ptCount val="5"/>
                <c:pt idx="0">
                  <c:v>FY 2019-20</c:v>
                </c:pt>
                <c:pt idx="1">
                  <c:v>FY 2020-21</c:v>
                </c:pt>
                <c:pt idx="2">
                  <c:v>FY 2021-22</c:v>
                </c:pt>
                <c:pt idx="3">
                  <c:v>FY 2022-23</c:v>
                </c:pt>
                <c:pt idx="4">
                  <c:v>FY 2023-24</c:v>
                </c:pt>
              </c:strCache>
            </c:strRef>
          </c:cat>
          <c:val>
            <c:numRef>
              <c:f>'4_Charts'!$B$4:$B$8</c:f>
              <c:numCache>
                <c:formatCode>#,##0</c:formatCode>
                <c:ptCount val="5"/>
                <c:pt idx="0">
                  <c:v>156949</c:v>
                </c:pt>
                <c:pt idx="1">
                  <c:v>164177</c:v>
                </c:pt>
                <c:pt idx="2">
                  <c:v>191754</c:v>
                </c:pt>
                <c:pt idx="3">
                  <c:v>225458</c:v>
                </c:pt>
                <c:pt idx="4">
                  <c:v>240893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2-444B-8E83-2C80DCA11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78358"/>
        <c:axId val="91140268"/>
      </c:barChart>
      <c:catAx>
        <c:axId val="30978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40268"/>
        <c:crosses val="autoZero"/>
        <c:auto val="1"/>
        <c:lblAlgn val="ctr"/>
        <c:lblOffset val="100"/>
        <c:noMultiLvlLbl val="0"/>
      </c:catAx>
      <c:valAx>
        <c:axId val="91140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978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TCS — Net Profit Trend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'4_Charts'!$D$3</c:f>
              <c:strCache>
                <c:ptCount val="1"/>
                <c:pt idx="0">
                  <c:v>Net Profit</c:v>
                </c:pt>
              </c:strCache>
            </c:strRef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'4_Charts'!$A$4:$A$8</c:f>
              <c:strCache>
                <c:ptCount val="5"/>
                <c:pt idx="0">
                  <c:v>FY 2019-20</c:v>
                </c:pt>
                <c:pt idx="1">
                  <c:v>FY 2020-21</c:v>
                </c:pt>
                <c:pt idx="2">
                  <c:v>FY 2021-22</c:v>
                </c:pt>
                <c:pt idx="3">
                  <c:v>FY 2022-23</c:v>
                </c:pt>
                <c:pt idx="4">
                  <c:v>FY 2023-24</c:v>
                </c:pt>
              </c:strCache>
            </c:strRef>
          </c:cat>
          <c:val>
            <c:numRef>
              <c:f>'4_Charts'!$D$4:$D$8</c:f>
              <c:numCache>
                <c:formatCode>#,##0</c:formatCode>
                <c:ptCount val="5"/>
                <c:pt idx="0">
                  <c:v>32430</c:v>
                </c:pt>
                <c:pt idx="1">
                  <c:v>33388</c:v>
                </c:pt>
                <c:pt idx="2">
                  <c:v>38327</c:v>
                </c:pt>
                <c:pt idx="3">
                  <c:v>42147</c:v>
                </c:pt>
                <c:pt idx="4">
                  <c:v>46099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5F-4CE0-8D86-08C3B078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071689"/>
        <c:axId val="34551231"/>
      </c:lineChart>
      <c:catAx>
        <c:axId val="67071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51231"/>
        <c:crosses val="autoZero"/>
        <c:auto val="1"/>
        <c:lblAlgn val="ctr"/>
        <c:lblOffset val="100"/>
        <c:noMultiLvlLbl val="0"/>
      </c:catAx>
      <c:valAx>
        <c:axId val="34551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71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vs Operating Profit vs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'4_Charts'!$B$3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'4_Charts'!$A$4:$A$8</c:f>
              <c:strCache>
                <c:ptCount val="5"/>
                <c:pt idx="0">
                  <c:v>FY 2019-20</c:v>
                </c:pt>
                <c:pt idx="1">
                  <c:v>FY 2020-21</c:v>
                </c:pt>
                <c:pt idx="2">
                  <c:v>FY 2021-22</c:v>
                </c:pt>
                <c:pt idx="3">
                  <c:v>FY 2022-23</c:v>
                </c:pt>
                <c:pt idx="4">
                  <c:v>FY 2023-24</c:v>
                </c:pt>
              </c:strCache>
            </c:strRef>
          </c:cat>
          <c:val>
            <c:numRef>
              <c:f>'4_Charts'!$B$4:$B$8</c:f>
              <c:numCache>
                <c:formatCode>#,##0</c:formatCode>
                <c:ptCount val="5"/>
                <c:pt idx="0">
                  <c:v>156949</c:v>
                </c:pt>
                <c:pt idx="1">
                  <c:v>164177</c:v>
                </c:pt>
                <c:pt idx="2">
                  <c:v>191754</c:v>
                </c:pt>
                <c:pt idx="3">
                  <c:v>225458</c:v>
                </c:pt>
                <c:pt idx="4">
                  <c:v>240893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5-4960-92DA-8483E055B317}"/>
            </c:ext>
          </c:extLst>
        </c:ser>
        <c:ser>
          <c:idx val="1"/>
          <c:order val="1"/>
          <c:tx>
            <c:strRef>
              <c:f>'4_Charts'!$C$3</c:f>
              <c:strCache>
                <c:ptCount val="1"/>
                <c:pt idx="0">
                  <c:v>Op.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'4_Charts'!$A$4:$A$8</c:f>
              <c:strCache>
                <c:ptCount val="5"/>
                <c:pt idx="0">
                  <c:v>FY 2019-20</c:v>
                </c:pt>
                <c:pt idx="1">
                  <c:v>FY 2020-21</c:v>
                </c:pt>
                <c:pt idx="2">
                  <c:v>FY 2021-22</c:v>
                </c:pt>
                <c:pt idx="3">
                  <c:v>FY 2022-23</c:v>
                </c:pt>
                <c:pt idx="4">
                  <c:v>FY 2023-24</c:v>
                </c:pt>
              </c:strCache>
            </c:strRef>
          </c:cat>
          <c:val>
            <c:numRef>
              <c:f>'4_Charts'!$C$4:$C$8</c:f>
              <c:numCache>
                <c:formatCode>#,##0</c:formatCode>
                <c:ptCount val="5"/>
                <c:pt idx="0">
                  <c:v>38327</c:v>
                </c:pt>
                <c:pt idx="1">
                  <c:v>41720</c:v>
                </c:pt>
                <c:pt idx="2">
                  <c:v>47654</c:v>
                </c:pt>
                <c:pt idx="3">
                  <c:v>53553</c:v>
                </c:pt>
                <c:pt idx="4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F5-4960-92DA-8483E055B317}"/>
            </c:ext>
          </c:extLst>
        </c:ser>
        <c:ser>
          <c:idx val="2"/>
          <c:order val="2"/>
          <c:tx>
            <c:strRef>
              <c:f>'4_Charts'!$D$3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'4_Charts'!$A$4:$A$8</c:f>
              <c:strCache>
                <c:ptCount val="5"/>
                <c:pt idx="0">
                  <c:v>FY 2019-20</c:v>
                </c:pt>
                <c:pt idx="1">
                  <c:v>FY 2020-21</c:v>
                </c:pt>
                <c:pt idx="2">
                  <c:v>FY 2021-22</c:v>
                </c:pt>
                <c:pt idx="3">
                  <c:v>FY 2022-23</c:v>
                </c:pt>
                <c:pt idx="4">
                  <c:v>FY 2023-24</c:v>
                </c:pt>
              </c:strCache>
            </c:strRef>
          </c:cat>
          <c:val>
            <c:numRef>
              <c:f>'4_Charts'!$D$4:$D$8</c:f>
              <c:numCache>
                <c:formatCode>#,##0</c:formatCode>
                <c:ptCount val="5"/>
                <c:pt idx="0">
                  <c:v>32430</c:v>
                </c:pt>
                <c:pt idx="1">
                  <c:v>33388</c:v>
                </c:pt>
                <c:pt idx="2">
                  <c:v>38327</c:v>
                </c:pt>
                <c:pt idx="3">
                  <c:v>42147</c:v>
                </c:pt>
                <c:pt idx="4">
                  <c:v>46099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F5-4960-92DA-8483E055B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29794"/>
        <c:axId val="34714784"/>
      </c:barChart>
      <c:catAx>
        <c:axId val="49929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14784"/>
        <c:crosses val="autoZero"/>
        <c:auto val="1"/>
        <c:lblAlgn val="ctr"/>
        <c:lblOffset val="100"/>
        <c:noMultiLvlLbl val="0"/>
      </c:catAx>
      <c:valAx>
        <c:axId val="34714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29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TCS — EPS Growth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'4_Charts'!$F$3</c:f>
              <c:strCache>
                <c:ptCount val="1"/>
                <c:pt idx="0">
                  <c:v>EPS</c:v>
                </c:pt>
              </c:strCache>
            </c:strRef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'4_Charts'!$A$4:$A$8</c:f>
              <c:strCache>
                <c:ptCount val="5"/>
                <c:pt idx="0">
                  <c:v>FY 2019-20</c:v>
                </c:pt>
                <c:pt idx="1">
                  <c:v>FY 2020-21</c:v>
                </c:pt>
                <c:pt idx="2">
                  <c:v>FY 2021-22</c:v>
                </c:pt>
                <c:pt idx="3">
                  <c:v>FY 2022-23</c:v>
                </c:pt>
                <c:pt idx="4">
                  <c:v>FY 2023-24</c:v>
                </c:pt>
              </c:strCache>
            </c:strRef>
          </c:cat>
          <c:val>
            <c:numRef>
              <c:f>'4_Charts'!$F$4:$F$8</c:f>
              <c:numCache>
                <c:formatCode>#,##0.00</c:formatCode>
                <c:ptCount val="5"/>
                <c:pt idx="0">
                  <c:v>83.68</c:v>
                </c:pt>
                <c:pt idx="1">
                  <c:v>90.19</c:v>
                </c:pt>
                <c:pt idx="2">
                  <c:v>103.6</c:v>
                </c:pt>
                <c:pt idx="3">
                  <c:v>114.72</c:v>
                </c:pt>
                <c:pt idx="4">
                  <c:v>124.6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C-45EF-B800-2C3F92832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100755"/>
        <c:axId val="35899212"/>
      </c:lineChart>
      <c:catAx>
        <c:axId val="731007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99212"/>
        <c:crosses val="autoZero"/>
        <c:auto val="1"/>
        <c:lblAlgn val="ctr"/>
        <c:lblOffset val="100"/>
        <c:noMultiLvlLbl val="0"/>
      </c:catAx>
      <c:valAx>
        <c:axId val="35899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EPS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007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135720</xdr:colOff>
      <xdr:row>31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22</xdr:col>
      <xdr:colOff>82080</xdr:colOff>
      <xdr:row>31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13</xdr:col>
      <xdr:colOff>400320</xdr:colOff>
      <xdr:row>51</xdr:row>
      <xdr:rowOff>107280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22</xdr:col>
      <xdr:colOff>82080</xdr:colOff>
      <xdr:row>49</xdr:row>
      <xdr:rowOff>128520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Normal="100" workbookViewId="0">
      <selection activeCell="M3" sqref="M3"/>
    </sheetView>
  </sheetViews>
  <sheetFormatPr defaultColWidth="8.6640625" defaultRowHeight="14.4" x14ac:dyDescent="0.3"/>
  <cols>
    <col min="1" max="1" width="16" customWidth="1"/>
    <col min="2" max="2" width="18" customWidth="1"/>
    <col min="3" max="3" width="20" customWidth="1"/>
    <col min="4" max="4" width="18" customWidth="1"/>
    <col min="5" max="5" width="20" customWidth="1"/>
    <col min="6" max="6" width="10" customWidth="1"/>
    <col min="7" max="7" width="12" customWidth="1"/>
    <col min="8" max="8" width="18" customWidth="1"/>
    <col min="9" max="9" width="16" customWidth="1"/>
  </cols>
  <sheetData>
    <row r="1" spans="1:9" ht="33.7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9.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spans="1:9" ht="15" customHeight="1" x14ac:dyDescent="0.3">
      <c r="A4" s="9" t="s">
        <v>2</v>
      </c>
      <c r="B4" s="9"/>
      <c r="C4" s="9"/>
    </row>
    <row r="5" spans="1:9" ht="15" customHeight="1" x14ac:dyDescent="0.3">
      <c r="A5" s="12" t="s">
        <v>3</v>
      </c>
      <c r="B5" s="13" t="s">
        <v>4</v>
      </c>
      <c r="C5" s="14" t="s">
        <v>5</v>
      </c>
    </row>
    <row r="7" spans="1:9" ht="33.75" customHeight="1" x14ac:dyDescent="0.3">
      <c r="A7" s="15" t="s">
        <v>6</v>
      </c>
      <c r="B7" s="15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</row>
    <row r="8" spans="1:9" ht="18" customHeight="1" x14ac:dyDescent="0.3">
      <c r="A8" s="16" t="s">
        <v>15</v>
      </c>
      <c r="B8" s="17">
        <v>156949</v>
      </c>
      <c r="C8" s="17">
        <v>38327</v>
      </c>
      <c r="D8" s="17">
        <v>32430</v>
      </c>
      <c r="E8" s="17">
        <v>118622</v>
      </c>
      <c r="F8" s="18">
        <v>83.68</v>
      </c>
      <c r="G8" s="17">
        <v>448464</v>
      </c>
      <c r="H8" s="17">
        <v>27160</v>
      </c>
      <c r="I8" s="17">
        <v>7782</v>
      </c>
    </row>
    <row r="9" spans="1:9" ht="18" customHeight="1" x14ac:dyDescent="0.3">
      <c r="A9" s="19" t="s">
        <v>16</v>
      </c>
      <c r="B9" s="20">
        <v>164177</v>
      </c>
      <c r="C9" s="20">
        <v>41720</v>
      </c>
      <c r="D9" s="20">
        <v>33388</v>
      </c>
      <c r="E9" s="20">
        <v>122457</v>
      </c>
      <c r="F9" s="21">
        <v>90.19</v>
      </c>
      <c r="G9" s="20">
        <v>488649</v>
      </c>
      <c r="H9" s="20">
        <v>30003</v>
      </c>
      <c r="I9" s="20">
        <v>7914</v>
      </c>
    </row>
    <row r="10" spans="1:9" ht="18" customHeight="1" x14ac:dyDescent="0.3">
      <c r="A10" s="16" t="s">
        <v>17</v>
      </c>
      <c r="B10" s="17">
        <v>191754</v>
      </c>
      <c r="C10" s="17">
        <v>47654</v>
      </c>
      <c r="D10" s="17">
        <v>38327</v>
      </c>
      <c r="E10" s="17">
        <v>144100</v>
      </c>
      <c r="F10" s="18">
        <v>103.6</v>
      </c>
      <c r="G10" s="17">
        <v>592195</v>
      </c>
      <c r="H10" s="17">
        <v>34000</v>
      </c>
      <c r="I10" s="17">
        <v>8867</v>
      </c>
    </row>
    <row r="11" spans="1:9" ht="18" customHeight="1" x14ac:dyDescent="0.3">
      <c r="A11" s="19" t="s">
        <v>18</v>
      </c>
      <c r="B11" s="20">
        <v>225458</v>
      </c>
      <c r="C11" s="20">
        <v>53553</v>
      </c>
      <c r="D11" s="20">
        <v>42147</v>
      </c>
      <c r="E11" s="20">
        <v>171905</v>
      </c>
      <c r="F11" s="21">
        <v>114.72</v>
      </c>
      <c r="G11" s="20">
        <v>614795</v>
      </c>
      <c r="H11" s="20">
        <v>37000</v>
      </c>
      <c r="I11" s="20">
        <v>10720</v>
      </c>
    </row>
    <row r="12" spans="1:9" ht="18" customHeight="1" x14ac:dyDescent="0.3">
      <c r="A12" s="16" t="s">
        <v>19</v>
      </c>
      <c r="B12" s="17">
        <v>240893</v>
      </c>
      <c r="C12" s="17">
        <v>63000</v>
      </c>
      <c r="D12" s="17">
        <v>46099</v>
      </c>
      <c r="E12" s="17">
        <v>177893</v>
      </c>
      <c r="F12" s="18">
        <v>124.6</v>
      </c>
      <c r="G12" s="17">
        <v>601546</v>
      </c>
      <c r="H12" s="17">
        <v>40000</v>
      </c>
      <c r="I12" s="17">
        <v>11050</v>
      </c>
    </row>
    <row r="13" spans="1:9" ht="21.75" customHeight="1" x14ac:dyDescent="0.3">
      <c r="A13" s="8" t="s">
        <v>20</v>
      </c>
      <c r="B13" s="8"/>
      <c r="C13" s="8"/>
      <c r="D13" s="8"/>
      <c r="E13" s="8"/>
      <c r="F13" s="8"/>
      <c r="G13" s="8"/>
      <c r="H13" s="8"/>
      <c r="I13" s="8"/>
    </row>
    <row r="14" spans="1:9" ht="18" customHeight="1" x14ac:dyDescent="0.3">
      <c r="A14" s="22" t="s">
        <v>21</v>
      </c>
      <c r="B14" s="23">
        <f t="shared" ref="B14:I14" si="0">SUM(B8:B12)</f>
        <v>979231</v>
      </c>
      <c r="C14" s="23">
        <f t="shared" si="0"/>
        <v>244254</v>
      </c>
      <c r="D14" s="23">
        <f t="shared" si="0"/>
        <v>192391</v>
      </c>
      <c r="E14" s="23">
        <f t="shared" si="0"/>
        <v>734977</v>
      </c>
      <c r="F14" s="23">
        <f t="shared" si="0"/>
        <v>516.79000000000008</v>
      </c>
      <c r="G14" s="23">
        <f t="shared" si="0"/>
        <v>2745649</v>
      </c>
      <c r="H14" s="23">
        <f t="shared" si="0"/>
        <v>168163</v>
      </c>
      <c r="I14" s="23">
        <f t="shared" si="0"/>
        <v>46333</v>
      </c>
    </row>
    <row r="15" spans="1:9" ht="18" customHeight="1" x14ac:dyDescent="0.3">
      <c r="A15" s="24" t="s">
        <v>22</v>
      </c>
      <c r="B15" s="25">
        <f t="shared" ref="B15:I15" si="1">AVERAGE(B8:B12)</f>
        <v>195846.2</v>
      </c>
      <c r="C15" s="25">
        <f t="shared" si="1"/>
        <v>48850.8</v>
      </c>
      <c r="D15" s="25">
        <f t="shared" si="1"/>
        <v>38478.199999999997</v>
      </c>
      <c r="E15" s="25">
        <f t="shared" si="1"/>
        <v>146995.4</v>
      </c>
      <c r="F15" s="26">
        <f t="shared" si="1"/>
        <v>103.35800000000002</v>
      </c>
      <c r="G15" s="25">
        <f t="shared" si="1"/>
        <v>549129.80000000005</v>
      </c>
      <c r="H15" s="25">
        <f t="shared" si="1"/>
        <v>33632.6</v>
      </c>
      <c r="I15" s="25">
        <f t="shared" si="1"/>
        <v>9266.6</v>
      </c>
    </row>
    <row r="16" spans="1:9" ht="18" customHeight="1" x14ac:dyDescent="0.3">
      <c r="A16" s="27" t="s">
        <v>23</v>
      </c>
      <c r="B16" s="28">
        <f t="shared" ref="B16:I16" si="2">MAX(B8:B12)</f>
        <v>240893</v>
      </c>
      <c r="C16" s="28">
        <f t="shared" si="2"/>
        <v>63000</v>
      </c>
      <c r="D16" s="28">
        <f t="shared" si="2"/>
        <v>46099</v>
      </c>
      <c r="E16" s="28">
        <f t="shared" si="2"/>
        <v>177893</v>
      </c>
      <c r="F16" s="29">
        <f t="shared" si="2"/>
        <v>124.6</v>
      </c>
      <c r="G16" s="28">
        <f t="shared" si="2"/>
        <v>614795</v>
      </c>
      <c r="H16" s="28">
        <f t="shared" si="2"/>
        <v>40000</v>
      </c>
      <c r="I16" s="28">
        <f t="shared" si="2"/>
        <v>11050</v>
      </c>
    </row>
    <row r="17" spans="1:9" ht="18" customHeight="1" x14ac:dyDescent="0.3">
      <c r="A17" s="30" t="s">
        <v>24</v>
      </c>
      <c r="B17" s="31">
        <f t="shared" ref="B17:I17" si="3">MIN(B8:B12)</f>
        <v>156949</v>
      </c>
      <c r="C17" s="31">
        <f t="shared" si="3"/>
        <v>38327</v>
      </c>
      <c r="D17" s="31">
        <f t="shared" si="3"/>
        <v>32430</v>
      </c>
      <c r="E17" s="31">
        <f t="shared" si="3"/>
        <v>118622</v>
      </c>
      <c r="F17" s="32">
        <f t="shared" si="3"/>
        <v>83.68</v>
      </c>
      <c r="G17" s="31">
        <f t="shared" si="3"/>
        <v>448464</v>
      </c>
      <c r="H17" s="31">
        <f t="shared" si="3"/>
        <v>27160</v>
      </c>
      <c r="I17" s="31">
        <f t="shared" si="3"/>
        <v>7782</v>
      </c>
    </row>
    <row r="19" spans="1:9" ht="15" customHeight="1" x14ac:dyDescent="0.3">
      <c r="A19" s="7" t="s">
        <v>25</v>
      </c>
      <c r="B19" s="7"/>
      <c r="C19" s="7"/>
      <c r="D19" s="7"/>
      <c r="E19" s="7"/>
      <c r="F19" s="7"/>
      <c r="G19" s="7"/>
      <c r="H19" s="7"/>
      <c r="I19" s="7"/>
    </row>
  </sheetData>
  <mergeCells count="5">
    <mergeCell ref="A1:I1"/>
    <mergeCell ref="A2:I2"/>
    <mergeCell ref="A4:C4"/>
    <mergeCell ref="A13:I13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28" customWidth="1"/>
    <col min="2" max="7" width="15" customWidth="1"/>
    <col min="8" max="8" width="22" customWidth="1"/>
    <col min="9" max="9" width="25" customWidth="1"/>
  </cols>
  <sheetData>
    <row r="1" spans="1:9" ht="33.75" customHeight="1" x14ac:dyDescent="0.3">
      <c r="A1" s="11" t="s">
        <v>26</v>
      </c>
      <c r="B1" s="11"/>
      <c r="C1" s="11"/>
      <c r="D1" s="11"/>
      <c r="E1" s="11"/>
      <c r="F1" s="11"/>
      <c r="G1" s="11"/>
      <c r="H1" s="11"/>
      <c r="I1" s="11"/>
    </row>
    <row r="2" spans="1:9" ht="19.5" customHeight="1" x14ac:dyDescent="0.3">
      <c r="A2" s="10" t="s">
        <v>27</v>
      </c>
      <c r="B2" s="10"/>
      <c r="C2" s="10"/>
      <c r="D2" s="10"/>
      <c r="E2" s="10"/>
      <c r="F2" s="10"/>
      <c r="G2" s="10"/>
      <c r="H2" s="10"/>
      <c r="I2" s="10"/>
    </row>
    <row r="4" spans="1:9" ht="21.75" customHeight="1" x14ac:dyDescent="0.3">
      <c r="A4" s="8" t="s">
        <v>28</v>
      </c>
      <c r="B4" s="8"/>
      <c r="C4" s="8"/>
      <c r="D4" s="8"/>
      <c r="E4" s="8"/>
      <c r="F4" s="8"/>
      <c r="G4" s="8"/>
      <c r="H4" s="8"/>
      <c r="I4" s="8"/>
    </row>
    <row r="5" spans="1:9" ht="27.75" customHeight="1" x14ac:dyDescent="0.3">
      <c r="A5" s="33" t="s">
        <v>29</v>
      </c>
      <c r="B5" s="33" t="s">
        <v>15</v>
      </c>
      <c r="C5" s="33" t="s">
        <v>16</v>
      </c>
      <c r="D5" s="33" t="s">
        <v>17</v>
      </c>
      <c r="E5" s="33" t="s">
        <v>18</v>
      </c>
      <c r="F5" s="33" t="s">
        <v>19</v>
      </c>
      <c r="G5" s="33" t="s">
        <v>30</v>
      </c>
      <c r="H5" s="33" t="s">
        <v>31</v>
      </c>
      <c r="I5" s="33" t="s">
        <v>32</v>
      </c>
    </row>
    <row r="6" spans="1:9" ht="21.75" customHeight="1" x14ac:dyDescent="0.3">
      <c r="A6" s="34" t="s">
        <v>33</v>
      </c>
      <c r="B6" s="35">
        <f>'1_Financial_Data'!D8/'1_Financial_Data'!B8*100</f>
        <v>20.662763063160643</v>
      </c>
      <c r="C6" s="35">
        <f>'1_Financial_Data'!D9/'1_Financial_Data'!B9*100</f>
        <v>20.336587950809186</v>
      </c>
      <c r="D6" s="35">
        <f>'1_Financial_Data'!D10/'1_Financial_Data'!B10*100</f>
        <v>19.987588264130082</v>
      </c>
      <c r="E6" s="35">
        <f>'1_Financial_Data'!D11/'1_Financial_Data'!B11*100</f>
        <v>18.693947431450646</v>
      </c>
      <c r="F6" s="35">
        <f>'1_Financial_Data'!D12/'1_Financial_Data'!B12*100</f>
        <v>19.136712150207767</v>
      </c>
      <c r="G6" s="36">
        <f>AVERAGE(B6:F6)</f>
        <v>19.763519771951664</v>
      </c>
      <c r="H6" s="37" t="s">
        <v>34</v>
      </c>
      <c r="I6" s="38" t="s">
        <v>35</v>
      </c>
    </row>
    <row r="7" spans="1:9" ht="21.75" customHeight="1" x14ac:dyDescent="0.3">
      <c r="A7" s="34" t="s">
        <v>36</v>
      </c>
      <c r="B7" s="39">
        <f>'1_Financial_Data'!C8/'1_Financial_Data'!B8*100</f>
        <v>24.420034533510886</v>
      </c>
      <c r="C7" s="39">
        <f>'1_Financial_Data'!C9/'1_Financial_Data'!B9*100</f>
        <v>25.411598457762047</v>
      </c>
      <c r="D7" s="39">
        <f>'1_Financial_Data'!C10/'1_Financial_Data'!B10*100</f>
        <v>24.851632821218853</v>
      </c>
      <c r="E7" s="39">
        <f>'1_Financial_Data'!C11/'1_Financial_Data'!B11*100</f>
        <v>23.75298281719877</v>
      </c>
      <c r="F7" s="39">
        <f>'1_Financial_Data'!C12/'1_Financial_Data'!B12*100</f>
        <v>26.152690198552886</v>
      </c>
      <c r="G7" s="36">
        <f>AVERAGE(B7:F7)</f>
        <v>24.91778776564869</v>
      </c>
      <c r="H7" s="37" t="s">
        <v>37</v>
      </c>
      <c r="I7" s="38" t="s">
        <v>38</v>
      </c>
    </row>
    <row r="8" spans="1:9" ht="21.75" customHeight="1" x14ac:dyDescent="0.3">
      <c r="A8" s="34" t="s">
        <v>39</v>
      </c>
      <c r="B8" s="35">
        <f>'1_Financial_Data'!E8/'1_Financial_Data'!B8*100</f>
        <v>75.579965466489114</v>
      </c>
      <c r="C8" s="35">
        <f>'1_Financial_Data'!E9/'1_Financial_Data'!B9*100</f>
        <v>74.588401542237946</v>
      </c>
      <c r="D8" s="35">
        <f>'1_Financial_Data'!E10/'1_Financial_Data'!B10*100</f>
        <v>75.148367178781143</v>
      </c>
      <c r="E8" s="35">
        <f>'1_Financial_Data'!E11/'1_Financial_Data'!B11*100</f>
        <v>76.24701718280123</v>
      </c>
      <c r="F8" s="35">
        <f>'1_Financial_Data'!E12/'1_Financial_Data'!B12*100</f>
        <v>73.847309801447111</v>
      </c>
      <c r="G8" s="36">
        <f>AVERAGE(B8:F8)</f>
        <v>75.082212234351317</v>
      </c>
      <c r="H8" s="37" t="s">
        <v>40</v>
      </c>
      <c r="I8" s="38" t="s">
        <v>41</v>
      </c>
    </row>
    <row r="9" spans="1:9" ht="21.75" customHeight="1" x14ac:dyDescent="0.3">
      <c r="A9" s="34" t="s">
        <v>42</v>
      </c>
      <c r="B9" s="39">
        <f>('1_Financial_Data'!B8-'1_Financial_Data'!E8)/'1_Financial_Data'!B8*100</f>
        <v>24.420034533510886</v>
      </c>
      <c r="C9" s="39">
        <f>('1_Financial_Data'!B9-'1_Financial_Data'!E9)/'1_Financial_Data'!B9*100</f>
        <v>25.411598457762047</v>
      </c>
      <c r="D9" s="39">
        <f>('1_Financial_Data'!B10-'1_Financial_Data'!E10)/'1_Financial_Data'!B10*100</f>
        <v>24.851632821218853</v>
      </c>
      <c r="E9" s="39">
        <f>('1_Financial_Data'!B11-'1_Financial_Data'!E11)/'1_Financial_Data'!B11*100</f>
        <v>23.75298281719877</v>
      </c>
      <c r="F9" s="39">
        <f>('1_Financial_Data'!B12-'1_Financial_Data'!E12)/'1_Financial_Data'!B12*100</f>
        <v>26.152690198552886</v>
      </c>
      <c r="G9" s="36">
        <f>AVERAGE(B9:F9)</f>
        <v>24.91778776564869</v>
      </c>
      <c r="H9" s="37" t="s">
        <v>43</v>
      </c>
      <c r="I9" s="38" t="s">
        <v>44</v>
      </c>
    </row>
    <row r="10" spans="1:9" ht="21.75" customHeight="1" x14ac:dyDescent="0.3">
      <c r="A10" s="34" t="s">
        <v>45</v>
      </c>
      <c r="B10" s="35">
        <f>'1_Financial_Data'!D8/'1_Financial_Data'!B8*100</f>
        <v>20.662763063160643</v>
      </c>
      <c r="C10" s="35">
        <f>'1_Financial_Data'!D9/'1_Financial_Data'!B9*100</f>
        <v>20.336587950809186</v>
      </c>
      <c r="D10" s="35">
        <f>'1_Financial_Data'!D10/'1_Financial_Data'!B10*100</f>
        <v>19.987588264130082</v>
      </c>
      <c r="E10" s="35">
        <f>'1_Financial_Data'!D11/'1_Financial_Data'!B11*100</f>
        <v>18.693947431450646</v>
      </c>
      <c r="F10" s="35">
        <f>'1_Financial_Data'!D12/'1_Financial_Data'!B12*100</f>
        <v>19.136712150207767</v>
      </c>
      <c r="G10" s="36">
        <f>AVERAGE(B10:F10)</f>
        <v>19.763519771951664</v>
      </c>
      <c r="H10" s="37" t="s">
        <v>34</v>
      </c>
      <c r="I10" s="38" t="s">
        <v>46</v>
      </c>
    </row>
    <row r="13" spans="1:9" ht="21.75" customHeight="1" x14ac:dyDescent="0.3">
      <c r="A13" s="8" t="s">
        <v>47</v>
      </c>
      <c r="B13" s="8"/>
      <c r="C13" s="8"/>
      <c r="D13" s="8"/>
      <c r="E13" s="8"/>
      <c r="F13" s="8"/>
      <c r="G13" s="8"/>
      <c r="H13" s="8"/>
      <c r="I13" s="8"/>
    </row>
    <row r="14" spans="1:9" ht="27.75" customHeight="1" x14ac:dyDescent="0.3">
      <c r="A14" s="33" t="s">
        <v>48</v>
      </c>
      <c r="B14" s="33" t="s">
        <v>49</v>
      </c>
      <c r="C14" s="33" t="s">
        <v>50</v>
      </c>
      <c r="D14" s="33" t="s">
        <v>51</v>
      </c>
      <c r="E14" s="33" t="s">
        <v>52</v>
      </c>
      <c r="F14" s="33" t="s">
        <v>53</v>
      </c>
      <c r="G14" s="33" t="s">
        <v>54</v>
      </c>
      <c r="H14" s="33" t="s">
        <v>31</v>
      </c>
      <c r="I14" s="33" t="s">
        <v>55</v>
      </c>
    </row>
    <row r="15" spans="1:9" ht="21.75" customHeight="1" x14ac:dyDescent="0.3">
      <c r="A15" s="34" t="s">
        <v>56</v>
      </c>
      <c r="B15" s="35">
        <f>('1_Financial_Data'!B9-'1_Financial_Data'!B8)/'1_Financial_Data'!B8*100</f>
        <v>4.60531765095668</v>
      </c>
      <c r="C15" s="35">
        <f>('1_Financial_Data'!B9-'1_Financial_Data'!B8)/'1_Financial_Data'!B8*100</f>
        <v>4.60531765095668</v>
      </c>
      <c r="D15" s="35">
        <f>('1_Financial_Data'!B10-'1_Financial_Data'!B9)/'1_Financial_Data'!B9*100</f>
        <v>16.797115308478045</v>
      </c>
      <c r="E15" s="35">
        <f>('1_Financial_Data'!B11-'1_Financial_Data'!B10)/'1_Financial_Data'!B10*100</f>
        <v>17.576686796624845</v>
      </c>
      <c r="F15" s="40">
        <f>('1_Financial_Data'!B12/'1_Financial_Data'!B8)^(1/4)-1</f>
        <v>0.1130544410866412</v>
      </c>
      <c r="G15" s="41" t="str">
        <f>IF(MAX(B15:E15)=B15,"FY20→21",IF(MAX(B15:E15)=C15,"FY21→22",IF(MAX(B15:E15)=D15,"FY22→23","FY23→24")))</f>
        <v>FY23→24</v>
      </c>
      <c r="H15" s="37" t="s">
        <v>57</v>
      </c>
      <c r="I15" s="38" t="s">
        <v>58</v>
      </c>
    </row>
    <row r="16" spans="1:9" ht="21.75" customHeight="1" x14ac:dyDescent="0.3">
      <c r="A16" s="34" t="s">
        <v>59</v>
      </c>
      <c r="B16" s="39">
        <f>('1_Financial_Data'!C9-'1_Financial_Data'!C8)/'1_Financial_Data'!C8*100</f>
        <v>8.8527669788921646</v>
      </c>
      <c r="C16" s="39">
        <f>('1_Financial_Data'!C9-'1_Financial_Data'!C8)/'1_Financial_Data'!C8*100</f>
        <v>8.8527669788921646</v>
      </c>
      <c r="D16" s="39">
        <f>('1_Financial_Data'!C10-'1_Financial_Data'!C9)/'1_Financial_Data'!C9*100</f>
        <v>14.223394055608821</v>
      </c>
      <c r="E16" s="39">
        <f>('1_Financial_Data'!C11-'1_Financial_Data'!C10)/'1_Financial_Data'!C10*100</f>
        <v>12.378813950560289</v>
      </c>
      <c r="F16" s="40">
        <f>('1_Financial_Data'!C12/'1_Financial_Data'!C8)^(1/4)-1</f>
        <v>0.13229328219334202</v>
      </c>
      <c r="G16" s="41" t="str">
        <f>IF(MAX(B16:E16)=B16,"FY20→21",IF(MAX(B16:E16)=C16,"FY21→22",IF(MAX(B16:E16)=D16,"FY22→23","FY23→24")))</f>
        <v>FY22→23</v>
      </c>
      <c r="H16" s="37" t="s">
        <v>57</v>
      </c>
      <c r="I16" s="38" t="s">
        <v>60</v>
      </c>
    </row>
    <row r="17" spans="1:9" ht="21.75" customHeight="1" x14ac:dyDescent="0.3">
      <c r="A17" s="34" t="s">
        <v>61</v>
      </c>
      <c r="B17" s="35">
        <f>('1_Financial_Data'!D9-'1_Financial_Data'!D8)/'1_Financial_Data'!D8*100</f>
        <v>2.954054887449892</v>
      </c>
      <c r="C17" s="35">
        <f>('1_Financial_Data'!D9-'1_Financial_Data'!D8)/'1_Financial_Data'!D8*100</f>
        <v>2.954054887449892</v>
      </c>
      <c r="D17" s="35">
        <f>('1_Financial_Data'!D10-'1_Financial_Data'!D9)/'1_Financial_Data'!D9*100</f>
        <v>14.792739906553255</v>
      </c>
      <c r="E17" s="35">
        <f>('1_Financial_Data'!D11-'1_Financial_Data'!D10)/'1_Financial_Data'!D10*100</f>
        <v>9.9668640905888797</v>
      </c>
      <c r="F17" s="40">
        <f>('1_Financial_Data'!D12/'1_Financial_Data'!D8)^(1/4)-1</f>
        <v>9.190822895044426E-2</v>
      </c>
      <c r="G17" s="41" t="str">
        <f>IF(MAX(B17:E17)=B17,"FY20→21",IF(MAX(B17:E17)=C17,"FY21→22",IF(MAX(B17:E17)=D17,"FY22→23","FY23→24")))</f>
        <v>FY22→23</v>
      </c>
      <c r="H17" s="37" t="s">
        <v>57</v>
      </c>
      <c r="I17" s="38" t="s">
        <v>62</v>
      </c>
    </row>
    <row r="18" spans="1:9" ht="21.75" customHeight="1" x14ac:dyDescent="0.3">
      <c r="A18" s="34" t="s">
        <v>63</v>
      </c>
      <c r="B18" s="39">
        <f>('1_Financial_Data'!F9-'1_Financial_Data'!F8)/'1_Financial_Data'!F8*100</f>
        <v>7.7796367112810598</v>
      </c>
      <c r="C18" s="39">
        <f>('1_Financial_Data'!F9-'1_Financial_Data'!F8)/'1_Financial_Data'!F8*100</f>
        <v>7.7796367112810598</v>
      </c>
      <c r="D18" s="39">
        <f>('1_Financial_Data'!F10-'1_Financial_Data'!F9)/'1_Financial_Data'!F9*100</f>
        <v>14.868610710721805</v>
      </c>
      <c r="E18" s="39">
        <f>('1_Financial_Data'!F11-'1_Financial_Data'!F10)/'1_Financial_Data'!F10*100</f>
        <v>10.733590733590738</v>
      </c>
      <c r="F18" s="40">
        <f>('1_Financial_Data'!F12/'1_Financial_Data'!F8)^(1/4)-1</f>
        <v>0.10464846320567567</v>
      </c>
      <c r="G18" s="41" t="str">
        <f>IF(MAX(B18:E18)=B18,"FY20→21",IF(MAX(B18:E18)=C18,"FY21→22",IF(MAX(B18:E18)=D18,"FY22→23","FY23→24")))</f>
        <v>FY22→23</v>
      </c>
      <c r="H18" s="37" t="s">
        <v>57</v>
      </c>
      <c r="I18" s="38" t="s">
        <v>64</v>
      </c>
    </row>
    <row r="19" spans="1:9" ht="21.75" customHeight="1" x14ac:dyDescent="0.3">
      <c r="A19" s="34" t="s">
        <v>65</v>
      </c>
      <c r="B19" s="35">
        <f>('1_Financial_Data'!G9-'1_Financial_Data'!G8)/'1_Financial_Data'!G8*100</f>
        <v>8.9605854650540504</v>
      </c>
      <c r="C19" s="35">
        <f>('1_Financial_Data'!G9-'1_Financial_Data'!G8)/'1_Financial_Data'!G8*100</f>
        <v>8.9605854650540504</v>
      </c>
      <c r="D19" s="35">
        <f>('1_Financial_Data'!G10-'1_Financial_Data'!G9)/'1_Financial_Data'!G9*100</f>
        <v>21.19026131231211</v>
      </c>
      <c r="E19" s="35">
        <f>('1_Financial_Data'!G11-'1_Financial_Data'!G10)/'1_Financial_Data'!G10*100</f>
        <v>3.8163105058300055</v>
      </c>
      <c r="F19" s="40">
        <f>('1_Financial_Data'!G12/'1_Financial_Data'!G8)^(1/4)-1</f>
        <v>7.6180985047711536E-2</v>
      </c>
      <c r="G19" s="41" t="str">
        <f>IF(MAX(B19:E19)=B19,"FY20→21",IF(MAX(B19:E19)=C19,"FY21→22",IF(MAX(B19:E19)=D19,"FY22→23","FY23→24")))</f>
        <v>FY22→23</v>
      </c>
      <c r="H19" s="37" t="s">
        <v>57</v>
      </c>
      <c r="I19" s="38" t="s">
        <v>66</v>
      </c>
    </row>
    <row r="22" spans="1:9" ht="21.75" customHeight="1" x14ac:dyDescent="0.3">
      <c r="A22" s="8" t="s">
        <v>67</v>
      </c>
      <c r="B22" s="8"/>
      <c r="C22" s="8"/>
      <c r="D22" s="8"/>
      <c r="E22" s="8"/>
      <c r="F22" s="8"/>
      <c r="G22" s="8"/>
      <c r="H22" s="8"/>
      <c r="I22" s="8"/>
    </row>
    <row r="23" spans="1:9" ht="27.75" customHeight="1" x14ac:dyDescent="0.3">
      <c r="A23" s="33" t="s">
        <v>68</v>
      </c>
      <c r="B23" s="33" t="s">
        <v>15</v>
      </c>
      <c r="C23" s="33" t="s">
        <v>16</v>
      </c>
      <c r="D23" s="33" t="s">
        <v>17</v>
      </c>
      <c r="E23" s="33" t="s">
        <v>18</v>
      </c>
      <c r="F23" s="33" t="s">
        <v>19</v>
      </c>
      <c r="G23" s="33" t="s">
        <v>30</v>
      </c>
      <c r="H23" s="33" t="s">
        <v>31</v>
      </c>
      <c r="I23" s="33" t="s">
        <v>55</v>
      </c>
    </row>
    <row r="24" spans="1:9" ht="21.75" customHeight="1" x14ac:dyDescent="0.3">
      <c r="A24" s="34" t="s">
        <v>69</v>
      </c>
      <c r="B24" s="42">
        <f>'1_Financial_Data'!B8/'1_Financial_Data'!G8</f>
        <v>0.3499701202326162</v>
      </c>
      <c r="C24" s="42">
        <f>'1_Financial_Data'!B9/'1_Financial_Data'!G9</f>
        <v>0.33598145089829307</v>
      </c>
      <c r="D24" s="42">
        <f>'1_Financial_Data'!B10/'1_Financial_Data'!G10</f>
        <v>0.32380212598890568</v>
      </c>
      <c r="E24" s="42">
        <f>'1_Financial_Data'!B11/'1_Financial_Data'!G11</f>
        <v>0.36672061418846935</v>
      </c>
      <c r="F24" s="42">
        <f>'1_Financial_Data'!B12/'1_Financial_Data'!G12</f>
        <v>0.40045649044295867</v>
      </c>
      <c r="G24" s="43">
        <f>AVERAGE(B24:F24)</f>
        <v>0.35538616035024856</v>
      </c>
      <c r="H24" s="37" t="s">
        <v>70</v>
      </c>
      <c r="I24" s="38" t="s">
        <v>71</v>
      </c>
    </row>
    <row r="25" spans="1:9" ht="21.75" customHeight="1" x14ac:dyDescent="0.3">
      <c r="A25" s="34" t="s">
        <v>72</v>
      </c>
      <c r="B25" s="44">
        <f>'1_Financial_Data'!D8/'1_Financial_Data'!G8</f>
        <v>7.2313496735523924E-2</v>
      </c>
      <c r="C25" s="44">
        <f>'1_Financial_Data'!D9/'1_Financial_Data'!G9</f>
        <v>6.8327163260336152E-2</v>
      </c>
      <c r="D25" s="44">
        <f>'1_Financial_Data'!D10/'1_Financial_Data'!G10</f>
        <v>6.4720235733162212E-2</v>
      </c>
      <c r="E25" s="44">
        <f>'1_Financial_Data'!D11/'1_Financial_Data'!G11</f>
        <v>6.8554558836685403E-2</v>
      </c>
      <c r="F25" s="44">
        <f>'1_Financial_Data'!D12/'1_Financial_Data'!G12</f>
        <v>7.6634205862893282E-2</v>
      </c>
      <c r="G25" s="43">
        <f>AVERAGE(B25:F25)</f>
        <v>7.0109932085720181E-2</v>
      </c>
      <c r="H25" s="37" t="s">
        <v>73</v>
      </c>
      <c r="I25" s="38" t="s">
        <v>74</v>
      </c>
    </row>
    <row r="26" spans="1:9" ht="21.75" customHeight="1" x14ac:dyDescent="0.3">
      <c r="A26" s="34" t="s">
        <v>75</v>
      </c>
      <c r="B26" s="42">
        <f>'1_Financial_Data'!C8/'1_Financial_Data'!G8</f>
        <v>8.5462824217774444E-2</v>
      </c>
      <c r="C26" s="42">
        <f>'1_Financial_Data'!C9/'1_Financial_Data'!G9</f>
        <v>8.5378257194837187E-2</v>
      </c>
      <c r="D26" s="42">
        <f>'1_Financial_Data'!C10/'1_Financial_Data'!G10</f>
        <v>8.0470115418063301E-2</v>
      </c>
      <c r="E26" s="42">
        <f>'1_Financial_Data'!C11/'1_Financial_Data'!G11</f>
        <v>8.7107084475312915E-2</v>
      </c>
      <c r="F26" s="42">
        <f>'1_Financial_Data'!C12/'1_Financial_Data'!G12</f>
        <v>0.10473014532554452</v>
      </c>
      <c r="G26" s="43">
        <f>AVERAGE(B26:F26)</f>
        <v>8.8629685326306468E-2</v>
      </c>
      <c r="H26" s="37" t="s">
        <v>76</v>
      </c>
      <c r="I26" s="38" t="s">
        <v>77</v>
      </c>
    </row>
    <row r="29" spans="1:9" ht="21.75" customHeight="1" x14ac:dyDescent="0.3">
      <c r="A29" s="8" t="s">
        <v>78</v>
      </c>
      <c r="B29" s="8"/>
      <c r="C29" s="8"/>
      <c r="D29" s="8"/>
      <c r="E29" s="8"/>
      <c r="F29" s="8"/>
      <c r="G29" s="8"/>
      <c r="H29" s="8"/>
      <c r="I29" s="8"/>
    </row>
    <row r="30" spans="1:9" ht="27.75" customHeight="1" x14ac:dyDescent="0.3">
      <c r="A30" s="33" t="s">
        <v>79</v>
      </c>
      <c r="B30" s="33" t="s">
        <v>80</v>
      </c>
      <c r="C30" s="33" t="s">
        <v>81</v>
      </c>
      <c r="D30" s="33" t="s">
        <v>82</v>
      </c>
      <c r="E30" s="33" t="s">
        <v>83</v>
      </c>
      <c r="F30" s="33" t="s">
        <v>84</v>
      </c>
      <c r="G30" s="33"/>
      <c r="H30" s="33"/>
      <c r="I30" s="33"/>
    </row>
    <row r="31" spans="1:9" ht="19.5" customHeight="1" x14ac:dyDescent="0.3">
      <c r="A31" s="34" t="s">
        <v>85</v>
      </c>
      <c r="B31" s="45">
        <f>'1_Financial_Data'!B8</f>
        <v>156949</v>
      </c>
      <c r="C31" s="45">
        <f>'1_Financial_Data'!B12</f>
        <v>240893</v>
      </c>
      <c r="D31" s="46">
        <v>4</v>
      </c>
      <c r="E31" s="37" t="s">
        <v>86</v>
      </c>
      <c r="F31" s="47">
        <f>(C31/B31)^(1/D31)-1</f>
        <v>0.1130544410866412</v>
      </c>
    </row>
    <row r="32" spans="1:9" ht="19.5" customHeight="1" x14ac:dyDescent="0.3">
      <c r="A32" s="34" t="s">
        <v>87</v>
      </c>
      <c r="B32" s="31">
        <f>'1_Financial_Data'!D8</f>
        <v>32430</v>
      </c>
      <c r="C32" s="31">
        <f>'1_Financial_Data'!D12</f>
        <v>46099</v>
      </c>
      <c r="D32" s="48">
        <v>4</v>
      </c>
      <c r="E32" s="37" t="s">
        <v>86</v>
      </c>
      <c r="F32" s="47">
        <f>(C32/B32)^(1/D32)-1</f>
        <v>9.190822895044426E-2</v>
      </c>
    </row>
    <row r="33" spans="1:6" ht="19.5" customHeight="1" x14ac:dyDescent="0.3">
      <c r="A33" s="34" t="s">
        <v>88</v>
      </c>
      <c r="B33" s="45">
        <f>'1_Financial_Data'!C8</f>
        <v>38327</v>
      </c>
      <c r="C33" s="45">
        <f>'1_Financial_Data'!C12</f>
        <v>63000</v>
      </c>
      <c r="D33" s="46">
        <v>4</v>
      </c>
      <c r="E33" s="37" t="s">
        <v>86</v>
      </c>
      <c r="F33" s="47">
        <f>(C33/B33)^(1/D33)-1</f>
        <v>0.13229328219334202</v>
      </c>
    </row>
    <row r="34" spans="1:6" ht="19.5" customHeight="1" x14ac:dyDescent="0.3">
      <c r="A34" s="34" t="s">
        <v>89</v>
      </c>
      <c r="B34" s="32">
        <f>'1_Financial_Data'!F8</f>
        <v>83.68</v>
      </c>
      <c r="C34" s="32">
        <f>'1_Financial_Data'!F12</f>
        <v>124.6</v>
      </c>
      <c r="D34" s="48">
        <v>4</v>
      </c>
      <c r="E34" s="37" t="s">
        <v>86</v>
      </c>
      <c r="F34" s="47">
        <f>(C34/B34)^(1/D34)-1</f>
        <v>0.10464846320567567</v>
      </c>
    </row>
  </sheetData>
  <mergeCells count="6">
    <mergeCell ref="A29:I29"/>
    <mergeCell ref="A1:I1"/>
    <mergeCell ref="A2:I2"/>
    <mergeCell ref="A4:I4"/>
    <mergeCell ref="A13:I13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topLeftCell="A11" zoomScaleNormal="100" workbookViewId="0">
      <selection sqref="A1:G1"/>
    </sheetView>
  </sheetViews>
  <sheetFormatPr defaultColWidth="8.6640625" defaultRowHeight="14.4" x14ac:dyDescent="0.3"/>
  <cols>
    <col min="1" max="1" width="26" customWidth="1"/>
    <col min="2" max="6" width="16" customWidth="1"/>
    <col min="7" max="7" width="18" customWidth="1"/>
  </cols>
  <sheetData>
    <row r="1" spans="1:7" ht="33.75" customHeight="1" x14ac:dyDescent="0.3">
      <c r="A1" s="11" t="s">
        <v>90</v>
      </c>
      <c r="B1" s="11"/>
      <c r="C1" s="11"/>
      <c r="D1" s="11"/>
      <c r="E1" s="11"/>
      <c r="F1" s="11"/>
      <c r="G1" s="11"/>
    </row>
    <row r="2" spans="1:7" ht="19.5" customHeight="1" x14ac:dyDescent="0.3">
      <c r="A2" s="10" t="s">
        <v>91</v>
      </c>
      <c r="B2" s="10"/>
      <c r="C2" s="10"/>
      <c r="D2" s="10"/>
      <c r="E2" s="10"/>
      <c r="F2" s="10"/>
      <c r="G2" s="10"/>
    </row>
    <row r="4" spans="1:7" ht="21.75" customHeight="1" x14ac:dyDescent="0.3">
      <c r="A4" s="6" t="s">
        <v>92</v>
      </c>
      <c r="B4" s="6"/>
      <c r="C4" s="6"/>
      <c r="D4" s="6"/>
      <c r="E4" s="6"/>
      <c r="F4" s="6"/>
      <c r="G4" s="6"/>
    </row>
    <row r="5" spans="1:7" ht="25.5" customHeight="1" x14ac:dyDescent="0.3">
      <c r="A5" s="15" t="s">
        <v>79</v>
      </c>
      <c r="B5" s="15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93</v>
      </c>
    </row>
    <row r="6" spans="1:7" ht="18" customHeight="1" x14ac:dyDescent="0.3">
      <c r="A6" s="34" t="s">
        <v>94</v>
      </c>
      <c r="B6" s="49">
        <f>'1_Financial_Data'!B8</f>
        <v>156949</v>
      </c>
      <c r="C6" s="49">
        <f>'1_Financial_Data'!B9</f>
        <v>164177</v>
      </c>
      <c r="D6" s="49">
        <f>'1_Financial_Data'!B10</f>
        <v>191754</v>
      </c>
      <c r="E6" s="49">
        <f>'1_Financial_Data'!B11</f>
        <v>225458</v>
      </c>
      <c r="F6" s="49">
        <f>'1_Financial_Data'!B12</f>
        <v>240893</v>
      </c>
      <c r="G6" s="23">
        <f>SUM(B6:F6)</f>
        <v>979231</v>
      </c>
    </row>
    <row r="7" spans="1:7" ht="18" customHeight="1" x14ac:dyDescent="0.3">
      <c r="A7" s="34" t="s">
        <v>95</v>
      </c>
      <c r="B7" s="50">
        <f>'1_Financial_Data'!C8</f>
        <v>38327</v>
      </c>
      <c r="C7" s="50">
        <f>'1_Financial_Data'!C9</f>
        <v>41720</v>
      </c>
      <c r="D7" s="50">
        <f>'1_Financial_Data'!C10</f>
        <v>47654</v>
      </c>
      <c r="E7" s="50">
        <f>'1_Financial_Data'!C11</f>
        <v>53553</v>
      </c>
      <c r="F7" s="50">
        <f>'1_Financial_Data'!C12</f>
        <v>63000</v>
      </c>
      <c r="G7" s="23">
        <f>SUM(B7:F7)</f>
        <v>244254</v>
      </c>
    </row>
    <row r="8" spans="1:7" ht="18" customHeight="1" x14ac:dyDescent="0.3">
      <c r="A8" s="34" t="s">
        <v>96</v>
      </c>
      <c r="B8" s="49">
        <f>'1_Financial_Data'!D8</f>
        <v>32430</v>
      </c>
      <c r="C8" s="49">
        <f>'1_Financial_Data'!D9</f>
        <v>33388</v>
      </c>
      <c r="D8" s="49">
        <f>'1_Financial_Data'!D10</f>
        <v>38327</v>
      </c>
      <c r="E8" s="49">
        <f>'1_Financial_Data'!D11</f>
        <v>42147</v>
      </c>
      <c r="F8" s="49">
        <f>'1_Financial_Data'!D12</f>
        <v>46099</v>
      </c>
      <c r="G8" s="23">
        <f>SUM(B8:F8)</f>
        <v>192391</v>
      </c>
    </row>
    <row r="9" spans="1:7" ht="18" customHeight="1" x14ac:dyDescent="0.3">
      <c r="A9" s="34" t="s">
        <v>97</v>
      </c>
      <c r="B9" s="50">
        <f>'1_Financial_Data'!E8</f>
        <v>118622</v>
      </c>
      <c r="C9" s="50">
        <f>'1_Financial_Data'!E9</f>
        <v>122457</v>
      </c>
      <c r="D9" s="50">
        <f>'1_Financial_Data'!E10</f>
        <v>144100</v>
      </c>
      <c r="E9" s="50">
        <f>'1_Financial_Data'!E11</f>
        <v>171905</v>
      </c>
      <c r="F9" s="50">
        <f>'1_Financial_Data'!E12</f>
        <v>177893</v>
      </c>
      <c r="G9" s="23">
        <f>SUM(B9:F9)</f>
        <v>734977</v>
      </c>
    </row>
    <row r="11" spans="1:7" ht="21.75" customHeight="1" x14ac:dyDescent="0.3">
      <c r="A11" s="6" t="s">
        <v>98</v>
      </c>
      <c r="B11" s="6"/>
      <c r="C11" s="6"/>
      <c r="D11" s="6"/>
      <c r="E11" s="6"/>
      <c r="F11" s="6"/>
      <c r="G11" s="6"/>
    </row>
    <row r="12" spans="1:7" ht="30" customHeight="1" x14ac:dyDescent="0.3">
      <c r="A12" s="15" t="s">
        <v>48</v>
      </c>
      <c r="B12" s="15" t="s">
        <v>99</v>
      </c>
      <c r="C12" s="15" t="s">
        <v>49</v>
      </c>
      <c r="D12" s="15" t="s">
        <v>50</v>
      </c>
      <c r="E12" s="15" t="s">
        <v>51</v>
      </c>
      <c r="F12" s="15" t="s">
        <v>52</v>
      </c>
      <c r="G12" s="15" t="s">
        <v>100</v>
      </c>
    </row>
    <row r="13" spans="1:7" ht="18" customHeight="1" x14ac:dyDescent="0.3">
      <c r="A13" s="34" t="s">
        <v>101</v>
      </c>
      <c r="B13" s="51" t="s">
        <v>102</v>
      </c>
      <c r="C13" s="35">
        <f t="shared" ref="C13:F16" si="0">(C6-B6)/B6*100</f>
        <v>4.60531765095668</v>
      </c>
      <c r="D13" s="35">
        <f t="shared" si="0"/>
        <v>16.797115308478045</v>
      </c>
      <c r="E13" s="35">
        <f t="shared" si="0"/>
        <v>17.576686796624845</v>
      </c>
      <c r="F13" s="35">
        <f t="shared" si="0"/>
        <v>6.8460644554639893</v>
      </c>
      <c r="G13" s="36">
        <f>AVERAGE(C13:F13)</f>
        <v>11.456296052880891</v>
      </c>
    </row>
    <row r="14" spans="1:7" ht="18" customHeight="1" x14ac:dyDescent="0.3">
      <c r="A14" s="34" t="s">
        <v>103</v>
      </c>
      <c r="B14" s="52" t="s">
        <v>102</v>
      </c>
      <c r="C14" s="39">
        <f t="shared" si="0"/>
        <v>8.8527669788921646</v>
      </c>
      <c r="D14" s="39">
        <f t="shared" si="0"/>
        <v>14.223394055608821</v>
      </c>
      <c r="E14" s="39">
        <f t="shared" si="0"/>
        <v>12.378813950560289</v>
      </c>
      <c r="F14" s="39">
        <f t="shared" si="0"/>
        <v>17.64046832110246</v>
      </c>
      <c r="G14" s="36">
        <f>AVERAGE(C14:F14)</f>
        <v>13.273860826540933</v>
      </c>
    </row>
    <row r="15" spans="1:7" ht="18" customHeight="1" x14ac:dyDescent="0.3">
      <c r="A15" s="34" t="s">
        <v>104</v>
      </c>
      <c r="B15" s="51" t="s">
        <v>102</v>
      </c>
      <c r="C15" s="35">
        <f t="shared" si="0"/>
        <v>2.954054887449892</v>
      </c>
      <c r="D15" s="35">
        <f t="shared" si="0"/>
        <v>14.792739906553255</v>
      </c>
      <c r="E15" s="35">
        <f t="shared" si="0"/>
        <v>9.9668640905888797</v>
      </c>
      <c r="F15" s="35">
        <f t="shared" si="0"/>
        <v>9.3767053408309007</v>
      </c>
      <c r="G15" s="36">
        <f>AVERAGE(C15:F15)</f>
        <v>9.2725910563557328</v>
      </c>
    </row>
    <row r="16" spans="1:7" ht="18" customHeight="1" x14ac:dyDescent="0.3">
      <c r="A16" s="34" t="s">
        <v>105</v>
      </c>
      <c r="B16" s="52" t="s">
        <v>102</v>
      </c>
      <c r="C16" s="39">
        <f t="shared" si="0"/>
        <v>3.2329584731331455</v>
      </c>
      <c r="D16" s="39">
        <f t="shared" si="0"/>
        <v>17.673959022350701</v>
      </c>
      <c r="E16" s="39">
        <f t="shared" si="0"/>
        <v>19.29562803608605</v>
      </c>
      <c r="F16" s="39">
        <f t="shared" si="0"/>
        <v>3.4833192751810591</v>
      </c>
      <c r="G16" s="36">
        <f>AVERAGE(C16:F16)</f>
        <v>10.921466201687739</v>
      </c>
    </row>
    <row r="18" spans="1:7" ht="21.75" customHeight="1" x14ac:dyDescent="0.3">
      <c r="A18" s="6" t="s">
        <v>106</v>
      </c>
      <c r="B18" s="6"/>
      <c r="C18" s="6"/>
      <c r="D18" s="6"/>
      <c r="E18" s="6"/>
      <c r="F18" s="6"/>
      <c r="G18" s="6"/>
    </row>
    <row r="19" spans="1:7" ht="25.5" customHeight="1" x14ac:dyDescent="0.3">
      <c r="A19" s="15" t="s">
        <v>79</v>
      </c>
      <c r="B19" s="15" t="s">
        <v>15</v>
      </c>
      <c r="C19" s="15" t="s">
        <v>16</v>
      </c>
      <c r="D19" s="15" t="s">
        <v>17</v>
      </c>
      <c r="E19" s="15" t="s">
        <v>18</v>
      </c>
      <c r="F19" s="15" t="s">
        <v>19</v>
      </c>
      <c r="G19" s="15" t="s">
        <v>107</v>
      </c>
    </row>
    <row r="20" spans="1:7" ht="18" customHeight="1" x14ac:dyDescent="0.3">
      <c r="A20" s="34" t="s">
        <v>94</v>
      </c>
      <c r="B20" s="49">
        <f>'1_Financial_Data'!B8</f>
        <v>156949</v>
      </c>
      <c r="C20" s="49">
        <f>'1_Financial_Data'!B9</f>
        <v>164177</v>
      </c>
      <c r="D20" s="49">
        <f>'1_Financial_Data'!B10</f>
        <v>191754</v>
      </c>
      <c r="E20" s="49">
        <f>'1_Financial_Data'!B11</f>
        <v>225458</v>
      </c>
      <c r="F20" s="49">
        <f>'1_Financial_Data'!B12</f>
        <v>240893</v>
      </c>
      <c r="G20" s="41" t="str">
        <f>IF(MAX(B20:F20)=B20,"FY20",IF(MAX(B20:F20)=C20,"FY21",IF(MAX(B20:F20)=D20,"FY22",IF(MAX(B20:F20)=E20,"FY23","FY24"))))</f>
        <v>FY24</v>
      </c>
    </row>
    <row r="21" spans="1:7" ht="18" customHeight="1" x14ac:dyDescent="0.3">
      <c r="A21" s="34" t="s">
        <v>95</v>
      </c>
      <c r="B21" s="50">
        <f>'1_Financial_Data'!C8</f>
        <v>38327</v>
      </c>
      <c r="C21" s="50">
        <f>'1_Financial_Data'!C9</f>
        <v>41720</v>
      </c>
      <c r="D21" s="50">
        <f>'1_Financial_Data'!C10</f>
        <v>47654</v>
      </c>
      <c r="E21" s="50">
        <f>'1_Financial_Data'!C11</f>
        <v>53553</v>
      </c>
      <c r="F21" s="50">
        <f>'1_Financial_Data'!C12</f>
        <v>63000</v>
      </c>
      <c r="G21" s="41" t="str">
        <f>IF(MAX(B21:F21)=B21,"FY20",IF(MAX(B21:F21)=C21,"FY21",IF(MAX(B21:F21)=D21,"FY22",IF(MAX(B21:F21)=E21,"FY23","FY24"))))</f>
        <v>FY24</v>
      </c>
    </row>
    <row r="22" spans="1:7" ht="18" customHeight="1" x14ac:dyDescent="0.3">
      <c r="A22" s="34" t="s">
        <v>96</v>
      </c>
      <c r="B22" s="49">
        <f>'1_Financial_Data'!D8</f>
        <v>32430</v>
      </c>
      <c r="C22" s="49">
        <f>'1_Financial_Data'!D9</f>
        <v>33388</v>
      </c>
      <c r="D22" s="49">
        <f>'1_Financial_Data'!D10</f>
        <v>38327</v>
      </c>
      <c r="E22" s="49">
        <f>'1_Financial_Data'!D11</f>
        <v>42147</v>
      </c>
      <c r="F22" s="49">
        <f>'1_Financial_Data'!D12</f>
        <v>46099</v>
      </c>
      <c r="G22" s="41" t="str">
        <f>IF(MAX(B22:F22)=B22,"FY20",IF(MAX(B22:F22)=C22,"FY21",IF(MAX(B22:F22)=D22,"FY22",IF(MAX(B22:F22)=E22,"FY23","FY24"))))</f>
        <v>FY24</v>
      </c>
    </row>
    <row r="23" spans="1:7" ht="18" customHeight="1" x14ac:dyDescent="0.3">
      <c r="A23" s="34" t="s">
        <v>97</v>
      </c>
      <c r="B23" s="50">
        <f>'1_Financial_Data'!E8</f>
        <v>118622</v>
      </c>
      <c r="C23" s="50">
        <f>'1_Financial_Data'!E9</f>
        <v>122457</v>
      </c>
      <c r="D23" s="50">
        <f>'1_Financial_Data'!E10</f>
        <v>144100</v>
      </c>
      <c r="E23" s="50">
        <f>'1_Financial_Data'!E11</f>
        <v>171905</v>
      </c>
      <c r="F23" s="50">
        <f>'1_Financial_Data'!E12</f>
        <v>177893</v>
      </c>
      <c r="G23" s="41" t="str">
        <f>IF(MAX(B23:F23)=B23,"FY20",IF(MAX(B23:F23)=C23,"FY21",IF(MAX(B23:F23)=D23,"FY22",IF(MAX(B23:F23)=E23,"FY23","FY24"))))</f>
        <v>FY24</v>
      </c>
    </row>
    <row r="25" spans="1:7" ht="15" customHeight="1" x14ac:dyDescent="0.3">
      <c r="A25" s="7" t="s">
        <v>108</v>
      </c>
      <c r="B25" s="7"/>
      <c r="C25" s="7"/>
      <c r="D25" s="7"/>
      <c r="E25" s="7"/>
      <c r="F25" s="7"/>
      <c r="G25" s="7"/>
    </row>
  </sheetData>
  <mergeCells count="6">
    <mergeCell ref="A25:G25"/>
    <mergeCell ref="A1:G1"/>
    <mergeCell ref="A2:G2"/>
    <mergeCell ref="A4:G4"/>
    <mergeCell ref="A11:G1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" width="16" customWidth="1"/>
    <col min="2" max="6" width="14" customWidth="1"/>
    <col min="7" max="12" width="2" customWidth="1"/>
  </cols>
  <sheetData>
    <row r="1" spans="1:12" ht="33.75" customHeight="1" x14ac:dyDescent="0.3">
      <c r="A1" s="11" t="s">
        <v>109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 ht="25.5" customHeight="1" x14ac:dyDescent="0.3">
      <c r="A3" s="33" t="s">
        <v>110</v>
      </c>
      <c r="B3" s="33" t="s">
        <v>94</v>
      </c>
      <c r="C3" s="33" t="s">
        <v>111</v>
      </c>
      <c r="D3" s="33" t="s">
        <v>96</v>
      </c>
      <c r="E3" s="33" t="s">
        <v>112</v>
      </c>
      <c r="F3" s="33" t="s">
        <v>113</v>
      </c>
    </row>
    <row r="4" spans="1:12" ht="18" customHeight="1" x14ac:dyDescent="0.3">
      <c r="A4" s="53" t="str">
        <f>'1_Financial_Data'!A8</f>
        <v>FY 2019-20</v>
      </c>
      <c r="B4" s="54">
        <f>'1_Financial_Data'!B8</f>
        <v>156949</v>
      </c>
      <c r="C4" s="54">
        <f>'1_Financial_Data'!C8</f>
        <v>38327</v>
      </c>
      <c r="D4" s="54">
        <f>'1_Financial_Data'!D8</f>
        <v>32430</v>
      </c>
      <c r="E4" s="54">
        <f>'1_Financial_Data'!E8</f>
        <v>118622</v>
      </c>
      <c r="F4" s="55">
        <f>'1_Financial_Data'!F8</f>
        <v>83.68</v>
      </c>
    </row>
    <row r="5" spans="1:12" ht="18" customHeight="1" x14ac:dyDescent="0.3">
      <c r="A5" s="53" t="str">
        <f>'1_Financial_Data'!A9</f>
        <v>FY 2020-21</v>
      </c>
      <c r="B5" s="54">
        <f>'1_Financial_Data'!B9</f>
        <v>164177</v>
      </c>
      <c r="C5" s="54">
        <f>'1_Financial_Data'!C9</f>
        <v>41720</v>
      </c>
      <c r="D5" s="54">
        <f>'1_Financial_Data'!D9</f>
        <v>33388</v>
      </c>
      <c r="E5" s="54">
        <f>'1_Financial_Data'!E9</f>
        <v>122457</v>
      </c>
      <c r="F5" s="55">
        <f>'1_Financial_Data'!F9</f>
        <v>90.19</v>
      </c>
    </row>
    <row r="6" spans="1:12" ht="18" customHeight="1" x14ac:dyDescent="0.3">
      <c r="A6" s="53" t="str">
        <f>'1_Financial_Data'!A10</f>
        <v>FY 2021-22</v>
      </c>
      <c r="B6" s="54">
        <f>'1_Financial_Data'!B10</f>
        <v>191754</v>
      </c>
      <c r="C6" s="54">
        <f>'1_Financial_Data'!C10</f>
        <v>47654</v>
      </c>
      <c r="D6" s="54">
        <f>'1_Financial_Data'!D10</f>
        <v>38327</v>
      </c>
      <c r="E6" s="54">
        <f>'1_Financial_Data'!E10</f>
        <v>144100</v>
      </c>
      <c r="F6" s="55">
        <f>'1_Financial_Data'!F10</f>
        <v>103.6</v>
      </c>
    </row>
    <row r="7" spans="1:12" ht="18" customHeight="1" x14ac:dyDescent="0.3">
      <c r="A7" s="53" t="str">
        <f>'1_Financial_Data'!A11</f>
        <v>FY 2022-23</v>
      </c>
      <c r="B7" s="54">
        <f>'1_Financial_Data'!B11</f>
        <v>225458</v>
      </c>
      <c r="C7" s="54">
        <f>'1_Financial_Data'!C11</f>
        <v>53553</v>
      </c>
      <c r="D7" s="54">
        <f>'1_Financial_Data'!D11</f>
        <v>42147</v>
      </c>
      <c r="E7" s="54">
        <f>'1_Financial_Data'!E11</f>
        <v>171905</v>
      </c>
      <c r="F7" s="55">
        <f>'1_Financial_Data'!F11</f>
        <v>114.72</v>
      </c>
    </row>
    <row r="8" spans="1:12" ht="18" customHeight="1" x14ac:dyDescent="0.3">
      <c r="A8" s="53" t="str">
        <f>'1_Financial_Data'!A12</f>
        <v>FY 2023-24</v>
      </c>
      <c r="B8" s="54">
        <f>'1_Financial_Data'!B12</f>
        <v>240893</v>
      </c>
      <c r="C8" s="54">
        <f>'1_Financial_Data'!C12</f>
        <v>63000</v>
      </c>
      <c r="D8" s="54">
        <f>'1_Financial_Data'!D12</f>
        <v>46099</v>
      </c>
      <c r="E8" s="54">
        <f>'1_Financial_Data'!E12</f>
        <v>177893</v>
      </c>
      <c r="F8" s="55">
        <f>'1_Financial_Data'!F12</f>
        <v>124.6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8" customWidth="1"/>
    <col min="2" max="6" width="18" customWidth="1"/>
    <col min="7" max="7" width="22" customWidth="1"/>
  </cols>
  <sheetData>
    <row r="1" spans="1:7" ht="33.75" customHeight="1" x14ac:dyDescent="0.3">
      <c r="A1" s="11" t="s">
        <v>114</v>
      </c>
      <c r="B1" s="11"/>
      <c r="C1" s="11"/>
      <c r="D1" s="11"/>
      <c r="E1" s="11"/>
      <c r="F1" s="11"/>
      <c r="G1" s="11"/>
    </row>
    <row r="3" spans="1:7" ht="21.75" customHeight="1" x14ac:dyDescent="0.3">
      <c r="A3" s="5" t="s">
        <v>115</v>
      </c>
      <c r="B3" s="5"/>
      <c r="C3" s="5"/>
      <c r="D3" s="5"/>
      <c r="E3" s="5"/>
      <c r="F3" s="5"/>
      <c r="G3" s="5"/>
    </row>
    <row r="4" spans="1:7" ht="30" customHeight="1" x14ac:dyDescent="0.3">
      <c r="A4" s="15" t="s">
        <v>116</v>
      </c>
      <c r="B4" s="15" t="s">
        <v>117</v>
      </c>
      <c r="C4" s="15" t="s">
        <v>118</v>
      </c>
      <c r="D4" s="15" t="s">
        <v>119</v>
      </c>
      <c r="E4" s="15" t="s">
        <v>120</v>
      </c>
      <c r="F4" s="15" t="s">
        <v>121</v>
      </c>
      <c r="G4" s="15" t="s">
        <v>122</v>
      </c>
    </row>
    <row r="5" spans="1:7" ht="19.5" customHeight="1" x14ac:dyDescent="0.3">
      <c r="A5" s="34" t="s">
        <v>123</v>
      </c>
      <c r="B5" s="49">
        <f>'1_Financial_Data'!B8</f>
        <v>156949</v>
      </c>
      <c r="C5" s="49">
        <f>'1_Financial_Data'!B12</f>
        <v>240893</v>
      </c>
      <c r="D5" s="45">
        <f>C5-B5</f>
        <v>83944</v>
      </c>
      <c r="E5" s="35">
        <f>(C5-B5)/B5*100</f>
        <v>53.484889996113381</v>
      </c>
      <c r="F5" s="47">
        <f>(C5/B5)^(1/4)-1</f>
        <v>0.1130544410866412</v>
      </c>
      <c r="G5" s="41" t="str">
        <f>IF(F5&gt;0.1,"Excellent ✓",IF(F5&gt;0.05,"Good ✓",IF(F5&gt;0,"Moderate","Review ⚠")))</f>
        <v>Excellent ✓</v>
      </c>
    </row>
    <row r="6" spans="1:7" ht="19.5" customHeight="1" x14ac:dyDescent="0.3">
      <c r="A6" s="34" t="s">
        <v>124</v>
      </c>
      <c r="B6" s="50">
        <f>'1_Financial_Data'!C8</f>
        <v>38327</v>
      </c>
      <c r="C6" s="50">
        <f>'1_Financial_Data'!C12</f>
        <v>63000</v>
      </c>
      <c r="D6" s="31">
        <f>C6-B6</f>
        <v>24673</v>
      </c>
      <c r="E6" s="39">
        <f>(C6-B6)/B6*100</f>
        <v>64.374983692957969</v>
      </c>
      <c r="F6" s="47">
        <f>(C6/B6)^(1/4)-1</f>
        <v>0.13229328219334202</v>
      </c>
      <c r="G6" s="41" t="str">
        <f>IF(F6&gt;0.1,"Excellent ✓",IF(F6&gt;0.05,"Good ✓",IF(F6&gt;0,"Moderate","Review ⚠")))</f>
        <v>Excellent ✓</v>
      </c>
    </row>
    <row r="7" spans="1:7" ht="19.5" customHeight="1" x14ac:dyDescent="0.3">
      <c r="A7" s="34" t="s">
        <v>125</v>
      </c>
      <c r="B7" s="49">
        <f>'1_Financial_Data'!D8</f>
        <v>32430</v>
      </c>
      <c r="C7" s="49">
        <f>'1_Financial_Data'!D12</f>
        <v>46099</v>
      </c>
      <c r="D7" s="45">
        <f>C7-B7</f>
        <v>13669</v>
      </c>
      <c r="E7" s="35">
        <f>(C7-B7)/B7*100</f>
        <v>42.149244526672838</v>
      </c>
      <c r="F7" s="47">
        <f>(C7/B7)^(1/4)-1</f>
        <v>9.190822895044426E-2</v>
      </c>
      <c r="G7" s="41" t="str">
        <f>IF(F7&gt;0.1,"Excellent ✓",IF(F7&gt;0.05,"Good ✓",IF(F7&gt;0,"Moderate","Review ⚠")))</f>
        <v>Good ✓</v>
      </c>
    </row>
    <row r="8" spans="1:7" ht="19.5" customHeight="1" x14ac:dyDescent="0.3">
      <c r="A8" s="34" t="s">
        <v>126</v>
      </c>
      <c r="B8" s="50">
        <f>'1_Financial_Data'!E8</f>
        <v>118622</v>
      </c>
      <c r="C8" s="50">
        <f>'1_Financial_Data'!E12</f>
        <v>177893</v>
      </c>
      <c r="D8" s="31">
        <f>C8-B8</f>
        <v>59271</v>
      </c>
      <c r="E8" s="39">
        <f>(C8-B8)/B8*100</f>
        <v>49.966279442261971</v>
      </c>
      <c r="F8" s="47">
        <f>(C8/B8)^(1/4)-1</f>
        <v>0.10661971790375957</v>
      </c>
      <c r="G8" s="41" t="str">
        <f>IF(F8&gt;0.1,"Excellent ✓",IF(F8&gt;0.05,"Good ✓",IF(F8&gt;0,"Moderate","Review ⚠")))</f>
        <v>Excellent ✓</v>
      </c>
    </row>
    <row r="9" spans="1:7" ht="19.5" customHeight="1" x14ac:dyDescent="0.3">
      <c r="A9" s="34" t="s">
        <v>11</v>
      </c>
      <c r="B9" s="56">
        <f>'1_Financial_Data'!F8</f>
        <v>83.68</v>
      </c>
      <c r="C9" s="56">
        <f>'1_Financial_Data'!F12</f>
        <v>124.6</v>
      </c>
      <c r="D9" s="57">
        <f>C9-B9</f>
        <v>40.919999999999987</v>
      </c>
      <c r="E9" s="35">
        <f>(C9-B9)/B9*100</f>
        <v>48.90057361376671</v>
      </c>
      <c r="F9" s="47">
        <f>(C9/B9)^(1/4)-1</f>
        <v>0.10464846320567567</v>
      </c>
      <c r="G9" s="41" t="str">
        <f>IF(F9&gt;0.1,"Excellent ✓",IF(F9&gt;0.05,"Good ✓",IF(F9&gt;0,"Moderate","Review ⚠")))</f>
        <v>Excellent ✓</v>
      </c>
    </row>
    <row r="12" spans="1:7" ht="21.75" customHeight="1" x14ac:dyDescent="0.3">
      <c r="A12" s="8" t="s">
        <v>127</v>
      </c>
      <c r="B12" s="8"/>
      <c r="C12" s="8"/>
      <c r="D12" s="8"/>
      <c r="E12" s="8"/>
      <c r="F12" s="8"/>
      <c r="G12" s="8"/>
    </row>
    <row r="13" spans="1:7" ht="25.5" customHeight="1" x14ac:dyDescent="0.3">
      <c r="A13" s="33" t="s">
        <v>128</v>
      </c>
      <c r="B13" s="33" t="s">
        <v>15</v>
      </c>
      <c r="C13" s="33" t="s">
        <v>16</v>
      </c>
      <c r="D13" s="33" t="s">
        <v>17</v>
      </c>
      <c r="E13" s="33" t="s">
        <v>18</v>
      </c>
      <c r="F13" s="33" t="s">
        <v>19</v>
      </c>
      <c r="G13" s="33" t="s">
        <v>129</v>
      </c>
    </row>
    <row r="14" spans="1:7" ht="19.5" customHeight="1" x14ac:dyDescent="0.3">
      <c r="A14" s="34" t="s">
        <v>130</v>
      </c>
      <c r="B14" s="35">
        <f>'1_Financial_Data'!D8/'1_Financial_Data'!B8*100</f>
        <v>20.662763063160643</v>
      </c>
      <c r="C14" s="35">
        <f>'1_Financial_Data'!D9/'1_Financial_Data'!B9*100</f>
        <v>20.336587950809186</v>
      </c>
      <c r="D14" s="35">
        <f>'1_Financial_Data'!D10/'1_Financial_Data'!B10*100</f>
        <v>19.987588264130082</v>
      </c>
      <c r="E14" s="35">
        <f>'1_Financial_Data'!D11/'1_Financial_Data'!B11*100</f>
        <v>18.693947431450646</v>
      </c>
      <c r="F14" s="35">
        <f>'1_Financial_Data'!D12/'1_Financial_Data'!B12*100</f>
        <v>19.136712150207767</v>
      </c>
      <c r="G14" s="41" t="str">
        <f>IF(F14&gt;B14,"↑ Improving","↓ Declining")</f>
        <v>↓ Declining</v>
      </c>
    </row>
    <row r="15" spans="1:7" ht="19.5" customHeight="1" x14ac:dyDescent="0.3">
      <c r="A15" s="34" t="s">
        <v>131</v>
      </c>
      <c r="B15" s="39">
        <f>'1_Financial_Data'!C8/'1_Financial_Data'!B8*100</f>
        <v>24.420034533510886</v>
      </c>
      <c r="C15" s="39">
        <f>'1_Financial_Data'!C9/'1_Financial_Data'!B9*100</f>
        <v>25.411598457762047</v>
      </c>
      <c r="D15" s="39">
        <f>'1_Financial_Data'!C10/'1_Financial_Data'!B10*100</f>
        <v>24.851632821218853</v>
      </c>
      <c r="E15" s="39">
        <f>'1_Financial_Data'!C11/'1_Financial_Data'!B11*100</f>
        <v>23.75298281719877</v>
      </c>
      <c r="F15" s="39">
        <f>'1_Financial_Data'!C12/'1_Financial_Data'!B12*100</f>
        <v>26.152690198552886</v>
      </c>
      <c r="G15" s="41" t="str">
        <f>IF(F15&gt;B15,"↑ Improving","↓ Declining")</f>
        <v>↑ Improving</v>
      </c>
    </row>
    <row r="16" spans="1:7" ht="19.5" customHeight="1" x14ac:dyDescent="0.3">
      <c r="A16" s="34" t="s">
        <v>132</v>
      </c>
      <c r="B16" s="35">
        <f>'1_Financial_Data'!E8/'1_Financial_Data'!B8*100</f>
        <v>75.579965466489114</v>
      </c>
      <c r="C16" s="35">
        <f>'1_Financial_Data'!E9/'1_Financial_Data'!B9*100</f>
        <v>74.588401542237946</v>
      </c>
      <c r="D16" s="35">
        <f>'1_Financial_Data'!E10/'1_Financial_Data'!B10*100</f>
        <v>75.148367178781143</v>
      </c>
      <c r="E16" s="35">
        <f>'1_Financial_Data'!E11/'1_Financial_Data'!B11*100</f>
        <v>76.24701718280123</v>
      </c>
      <c r="F16" s="35">
        <f>'1_Financial_Data'!E12/'1_Financial_Data'!B12*100</f>
        <v>73.847309801447111</v>
      </c>
      <c r="G16" s="41" t="str">
        <f>IF(F16&gt;B16,"↑ Improving","↓ Declining")</f>
        <v>↓ Declining</v>
      </c>
    </row>
    <row r="19" spans="1:7" ht="21.75" customHeight="1" x14ac:dyDescent="0.3">
      <c r="A19" s="4" t="s">
        <v>133</v>
      </c>
      <c r="B19" s="4"/>
      <c r="C19" s="4"/>
      <c r="D19" s="4"/>
      <c r="E19" s="4"/>
      <c r="F19" s="4"/>
      <c r="G19" s="4"/>
    </row>
    <row r="20" spans="1:7" ht="19.5" customHeight="1" x14ac:dyDescent="0.3">
      <c r="A20" s="3" t="s">
        <v>134</v>
      </c>
      <c r="B20" s="3"/>
      <c r="C20" s="3"/>
      <c r="D20" s="3"/>
      <c r="E20" s="3"/>
      <c r="F20" s="3"/>
      <c r="G20" s="3"/>
    </row>
    <row r="21" spans="1:7" ht="37.5" customHeight="1" x14ac:dyDescent="0.3">
      <c r="A21" s="2" t="s">
        <v>135</v>
      </c>
      <c r="B21" s="2"/>
      <c r="C21" s="2"/>
      <c r="D21" s="2"/>
      <c r="E21" s="2"/>
      <c r="F21" s="2"/>
      <c r="G21" s="2"/>
    </row>
    <row r="22" spans="1:7" ht="19.5" customHeight="1" x14ac:dyDescent="0.3">
      <c r="A22" s="3" t="s">
        <v>136</v>
      </c>
      <c r="B22" s="3"/>
      <c r="C22" s="3"/>
      <c r="D22" s="3"/>
      <c r="E22" s="3"/>
      <c r="F22" s="3"/>
      <c r="G22" s="3"/>
    </row>
    <row r="23" spans="1:7" ht="37.5" customHeight="1" x14ac:dyDescent="0.3">
      <c r="A23" s="2" t="s">
        <v>137</v>
      </c>
      <c r="B23" s="2"/>
      <c r="C23" s="2"/>
      <c r="D23" s="2"/>
      <c r="E23" s="2"/>
      <c r="F23" s="2"/>
      <c r="G23" s="2"/>
    </row>
    <row r="24" spans="1:7" ht="19.5" customHeight="1" x14ac:dyDescent="0.3">
      <c r="A24" s="3" t="s">
        <v>138</v>
      </c>
      <c r="B24" s="3"/>
      <c r="C24" s="3"/>
      <c r="D24" s="3"/>
      <c r="E24" s="3"/>
      <c r="F24" s="3"/>
      <c r="G24" s="3"/>
    </row>
    <row r="25" spans="1:7" ht="37.5" customHeight="1" x14ac:dyDescent="0.3">
      <c r="A25" s="2" t="s">
        <v>139</v>
      </c>
      <c r="B25" s="2"/>
      <c r="C25" s="2"/>
      <c r="D25" s="2"/>
      <c r="E25" s="2"/>
      <c r="F25" s="2"/>
      <c r="G25" s="2"/>
    </row>
    <row r="26" spans="1:7" ht="19.5" customHeight="1" x14ac:dyDescent="0.3">
      <c r="A26" s="3" t="s">
        <v>140</v>
      </c>
      <c r="B26" s="3"/>
      <c r="C26" s="3"/>
      <c r="D26" s="3"/>
      <c r="E26" s="3"/>
      <c r="F26" s="3"/>
      <c r="G26" s="3"/>
    </row>
    <row r="27" spans="1:7" ht="37.5" customHeight="1" x14ac:dyDescent="0.3">
      <c r="A27" s="2" t="s">
        <v>141</v>
      </c>
      <c r="B27" s="2"/>
      <c r="C27" s="2"/>
      <c r="D27" s="2"/>
      <c r="E27" s="2"/>
      <c r="F27" s="2"/>
      <c r="G27" s="2"/>
    </row>
    <row r="28" spans="1:7" ht="19.5" customHeight="1" x14ac:dyDescent="0.3">
      <c r="A28" s="3" t="s">
        <v>142</v>
      </c>
      <c r="B28" s="3"/>
      <c r="C28" s="3"/>
      <c r="D28" s="3"/>
      <c r="E28" s="3"/>
      <c r="F28" s="3"/>
      <c r="G28" s="3"/>
    </row>
    <row r="29" spans="1:7" ht="37.5" customHeight="1" x14ac:dyDescent="0.3">
      <c r="A29" s="2" t="s">
        <v>143</v>
      </c>
      <c r="B29" s="2"/>
      <c r="C29" s="2"/>
      <c r="D29" s="2"/>
      <c r="E29" s="2"/>
      <c r="F29" s="2"/>
      <c r="G29" s="2"/>
    </row>
    <row r="31" spans="1:7" ht="21.75" customHeight="1" x14ac:dyDescent="0.3">
      <c r="A31" s="4" t="s">
        <v>144</v>
      </c>
      <c r="B31" s="4"/>
      <c r="C31" s="4"/>
      <c r="D31" s="4"/>
      <c r="E31" s="4"/>
      <c r="F31" s="4"/>
      <c r="G31" s="4"/>
    </row>
    <row r="32" spans="1:7" ht="64.5" customHeight="1" x14ac:dyDescent="0.3">
      <c r="A32" s="1" t="s">
        <v>145</v>
      </c>
      <c r="B32" s="1"/>
      <c r="C32" s="1"/>
      <c r="D32" s="1"/>
      <c r="E32" s="1"/>
      <c r="F32" s="1"/>
      <c r="G32" s="1"/>
    </row>
    <row r="34" spans="1:7" ht="15" customHeight="1" x14ac:dyDescent="0.3">
      <c r="A34" s="7" t="s">
        <v>146</v>
      </c>
      <c r="B34" s="7"/>
      <c r="C34" s="7"/>
      <c r="D34" s="7"/>
      <c r="E34" s="7"/>
      <c r="F34" s="7"/>
      <c r="G34" s="7"/>
    </row>
  </sheetData>
  <mergeCells count="17">
    <mergeCell ref="A32:G32"/>
    <mergeCell ref="A34:G34"/>
    <mergeCell ref="A26:G26"/>
    <mergeCell ref="A27:G27"/>
    <mergeCell ref="A28:G28"/>
    <mergeCell ref="A29:G29"/>
    <mergeCell ref="A31:G31"/>
    <mergeCell ref="A21:G21"/>
    <mergeCell ref="A22:G22"/>
    <mergeCell ref="A23:G23"/>
    <mergeCell ref="A24:G24"/>
    <mergeCell ref="A25:G25"/>
    <mergeCell ref="A1:G1"/>
    <mergeCell ref="A3:G3"/>
    <mergeCell ref="A12:G12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1_Financial_Data</vt:lpstr>
      <vt:lpstr>2_Ratio_Analysis</vt:lpstr>
      <vt:lpstr>3_Growth_Analysis</vt:lpstr>
      <vt:lpstr>4_Charts</vt:lpstr>
      <vt:lpstr>5_Interpretation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Siddharth Singh</cp:lastModifiedBy>
  <cp:revision>2</cp:revision>
  <dcterms:created xsi:type="dcterms:W3CDTF">2026-02-20T17:56:38Z</dcterms:created>
  <dcterms:modified xsi:type="dcterms:W3CDTF">2026-02-20T18:10:09Z</dcterms:modified>
  <dc:language>en-US</dc:language>
</cp:coreProperties>
</file>